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0a47921d2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_Dashboard" sheetId="1" r:id="R993d7d56caac47d1"/>
    <x:sheet xmlns:r="http://schemas.openxmlformats.org/officeDocument/2006/relationships" name="Eval_Input" sheetId="2" r:id="Rf18fcad7bc484562"/>
    <x:sheet xmlns:r="http://schemas.openxmlformats.org/officeDocument/2006/relationships" name="Gold_Labels" sheetId="3" r:id="R38f30d8426d447b4"/>
    <x:sheet xmlns:r="http://schemas.openxmlformats.org/officeDocument/2006/relationships" name="Rubric_Items" sheetId="4" r:id="R5f6c534f79994860"/>
    <x:sheet xmlns:r="http://schemas.openxmlformats.org/officeDocument/2006/relationships" name="Prompt_Versions" sheetId="5" r:id="R3d7e71d3497c43e1"/>
    <x:sheet xmlns:r="http://schemas.openxmlformats.org/officeDocument/2006/relationships" name="Experiment_Matrix" sheetId="6" r:id="R7e273406dbe14dd7"/>
    <x:sheet xmlns:r="http://schemas.openxmlformats.org/officeDocument/2006/relationships" name="Error_Taxonomy" sheetId="7" r:id="R4521b08db7674f16"/>
    <x:sheet xmlns:r="http://schemas.openxmlformats.org/officeDocument/2006/relationships" name="Data_Routing_Rules" sheetId="8" r:id="R106cbdd2001a4834"/>
    <x:sheet xmlns:r="http://schemas.openxmlformats.org/officeDocument/2006/relationships" name="Model_Run_Log_Template" sheetId="9" r:id="R696bb4840dc54255"/>
    <x:sheet xmlns:r="http://schemas.openxmlformats.org/officeDocument/2006/relationships" name="Judge_Scores_Template" sheetId="10" r:id="Rb962cab780bd4d15"/>
    <x:sheet xmlns:r="http://schemas.openxmlformats.org/officeDocument/2006/relationships" name="Data_Routing_Template" sheetId="11" r:id="R5ab8bcc31ae748d9"/>
    <x:sheet xmlns:r="http://schemas.openxmlformats.org/officeDocument/2006/relationships" name="Human_Review_Queue" sheetId="12" r:id="R2757a56b75d54e07"/>
    <x:sheet xmlns:r="http://schemas.openxmlformats.org/officeDocument/2006/relationships" name="Dataset_Coverage" sheetId="13" r:id="Ra53b2e30ef4b4524"/>
    <x:sheet xmlns:r="http://schemas.openxmlformats.org/officeDocument/2006/relationships" name="Task_Category_Summary" sheetId="14" r:id="R802728818ec84076"/>
    <x:sheet xmlns:r="http://schemas.openxmlformats.org/officeDocument/2006/relationships" name="Badcase_Cards" sheetId="15" r:id="R8b646149766b42da"/>
    <x:sheet xmlns:r="http://schemas.openxmlformats.org/officeDocument/2006/relationships" name="Comparative_Summary" sheetId="16" r:id="R43b0c00f576c4752"/>
    <x:sheet xmlns:r="http://schemas.openxmlformats.org/officeDocument/2006/relationships" name="Annotation_Guideline" sheetId="17" r:id="R97a80ea239fa4954"/>
    <x:sheet xmlns:r="http://schemas.openxmlformats.org/officeDocument/2006/relationships" name="Project_Readme" sheetId="18" r:id="Rd959c92ebe494d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4"/>
      <x:color rgb="FFFFFFFF"/>
      <x:name val="Carlito"/>
    </x:font>
    <x:font>
      <x:sz val="11"/>
      <x:color rgb="FF7C2D12"/>
      <x:name val="Carlito"/>
    </x:font>
    <x:font>
      <x:b/>
      <x:sz val="11"/>
      <x:color rgb="FFFFFFFF"/>
      <x:name val="Carlito"/>
    </x:font>
    <x:font>
      <x:b/>
      <x:sz val="14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FF7ED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37aaa3c4f24fce" /><Relationship Type="http://schemas.openxmlformats.org/officeDocument/2006/relationships/theme" Target="/xl/theme/theme1.xml" Id="R228e4e0c4d8145af" /><Relationship Type="http://schemas.openxmlformats.org/officeDocument/2006/relationships/sharedStrings" Target="/xl/sharedStrings.xml" Id="R74696a1d40024479" /><Relationship Type="http://schemas.openxmlformats.org/officeDocument/2006/relationships/worksheet" Target="/xl/worksheets/sheet1.xml" Id="R993d7d56caac47d1" /><Relationship Type="http://schemas.openxmlformats.org/officeDocument/2006/relationships/worksheet" Target="/xl/worksheets/sheet2.xml" Id="Rf18fcad7bc484562" /><Relationship Type="http://schemas.openxmlformats.org/officeDocument/2006/relationships/worksheet" Target="/xl/worksheets/sheet3.xml" Id="R38f30d8426d447b4" /><Relationship Type="http://schemas.openxmlformats.org/officeDocument/2006/relationships/worksheet" Target="/xl/worksheets/sheet4.xml" Id="R5f6c534f79994860" /><Relationship Type="http://schemas.openxmlformats.org/officeDocument/2006/relationships/worksheet" Target="/xl/worksheets/sheet5.xml" Id="R3d7e71d3497c43e1" /><Relationship Type="http://schemas.openxmlformats.org/officeDocument/2006/relationships/worksheet" Target="/xl/worksheets/sheet6.xml" Id="R7e273406dbe14dd7" /><Relationship Type="http://schemas.openxmlformats.org/officeDocument/2006/relationships/worksheet" Target="/xl/worksheets/sheet7.xml" Id="R4521b08db7674f16" /><Relationship Type="http://schemas.openxmlformats.org/officeDocument/2006/relationships/worksheet" Target="/xl/worksheets/sheet8.xml" Id="R106cbdd2001a4834" /><Relationship Type="http://schemas.openxmlformats.org/officeDocument/2006/relationships/worksheet" Target="/xl/worksheets/sheet9.xml" Id="R696bb4840dc54255" /><Relationship Type="http://schemas.openxmlformats.org/officeDocument/2006/relationships/worksheet" Target="/xl/worksheets/sheet10.xml" Id="Rb962cab780bd4d15" /><Relationship Type="http://schemas.openxmlformats.org/officeDocument/2006/relationships/worksheet" Target="/xl/worksheets/sheet11.xml" Id="R5ab8bcc31ae748d9" /><Relationship Type="http://schemas.openxmlformats.org/officeDocument/2006/relationships/worksheet" Target="/xl/worksheets/sheet12.xml" Id="R2757a56b75d54e07" /><Relationship Type="http://schemas.openxmlformats.org/officeDocument/2006/relationships/worksheet" Target="/xl/worksheets/sheet13.xml" Id="Ra53b2e30ef4b4524" /><Relationship Type="http://schemas.openxmlformats.org/officeDocument/2006/relationships/worksheet" Target="/xl/worksheets/sheet14.xml" Id="R802728818ec84076" /><Relationship Type="http://schemas.openxmlformats.org/officeDocument/2006/relationships/worksheet" Target="/xl/worksheets/sheet15.xml" Id="R8b646149766b42da" /><Relationship Type="http://schemas.openxmlformats.org/officeDocument/2006/relationships/worksheet" Target="/xl/worksheets/sheet16.xml" Id="R43b0c00f576c4752" /><Relationship Type="http://schemas.openxmlformats.org/officeDocument/2006/relationships/worksheet" Target="/xl/worksheets/sheet17.xml" Id="R97a80ea239fa4954" /><Relationship Type="http://schemas.openxmlformats.org/officeDocument/2006/relationships/worksheet" Target="/xl/worksheets/sheet18.xml" Id="Rd959c92ebe494d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4" max="4" width="24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3" max="3" width="4" hidden="0" customWidth="1"/>
  </x:cols>
  <x:sheetData>
    <x:row r="1">
      <x:c r="A1" s="42" t="str">
        <x:v>Legal AI Data Governance &amp; Eval Harness｜40 Core Samples</x:v>
      </x:c>
      <x:c r="B1" s="42"/>
      <x:c r="C1" s="42"/>
      <x:c r="D1" s="42"/>
      <x:c r="E1" s="42"/>
      <x:c r="F1" s="42"/>
      <x:c r="G1" s="42"/>
      <x:c r="H1" s="42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13" t="str">
        <x:v>投递版项目 Excel：40 条核心样本，三类法律任务，Gold Label 防泄漏，Rubric Judge，错误标签和 Data Routing。该项目不是法律咨询系统，也不做模型排行榜。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Metric</x:v>
      </x:c>
      <x:c r="B4" s="22" t="str">
        <x:v>Value</x:v>
      </x:c>
      <x:c r="D4" s="22" t="str">
        <x:v>Design Principle</x:v>
      </x:c>
      <x:c r="E4" s="22" t="str">
        <x:v>Implementation</x:v>
      </x:c>
      <x:c r="F4" s="22" t="str">
        <x:v>Agent Visible</x:v>
      </x:c>
      <x:c r="G4" s="22" t="str">
        <x:v>Judge Visible</x:v>
      </x:c>
      <x:c r="H4" s="22" t="str">
        <x:v>Human Visible</x:v>
      </x:c>
    </x:row>
    <x:row r="5">
      <x:c r="A5" t="str">
        <x:v>Total core samples</x:v>
      </x:c>
      <x:c r="B5" t="n">
        <x:f>COUNTA(Eval_Input!A2:A41)</x:f>
        <x:v>40</x:v>
      </x:c>
      <x:c r="D5" t="str">
        <x:v>Gold label isolation</x:v>
      </x:c>
      <x:c r="E5" t="str">
        <x:v>Eval_Input and Gold_Labels are separated</x:v>
      </x:c>
      <x:c r="F5" t="str">
        <x:v>Eval_Input only</x:v>
      </x:c>
      <x:c r="G5" t="str">
        <x:v>Gold + Rubric</x:v>
      </x:c>
      <x:c r="H5" t="str">
        <x:v>Gold + Rubric</x:v>
      </x:c>
    </x:row>
    <x:row r="6">
      <x:c r="A6" t="str">
        <x:v>Consultation samples</x:v>
      </x:c>
      <x:c r="B6" t="n">
        <x:f>COUNTIF(Eval_Input!B2:B41,"consultation")</x:f>
        <x:v>24</x:v>
      </x:c>
      <x:c r="D6" t="str">
        <x:v>V2 blind review</x:v>
      </x:c>
      <x:c r="E6" t="str">
        <x:v>V2 can see V0 output but cannot see gold labels</x:v>
      </x:c>
      <x:c r="F6" t="str">
        <x:v>Yes</x:v>
      </x:c>
      <x:c r="G6" t="str">
        <x:v>N/A</x:v>
      </x:c>
      <x:c r="H6" t="str">
        <x:v>Review only</x:v>
      </x:c>
    </x:row>
    <x:row r="7">
      <x:c r="A7" t="str">
        <x:v>Case analysis samples</x:v>
      </x:c>
      <x:c r="B7" t="n">
        <x:f>COUNTIF(Eval_Input!B2:B41,"case_analysis")</x:f>
        <x:v>12</x:v>
      </x:c>
      <x:c r="D7" t="str">
        <x:v>Task-specific judge</x:v>
      </x:c>
      <x:c r="E7" t="str">
        <x:v>Different judge prompt per task category</x:v>
      </x:c>
      <x:c r="F7" t="str">
        <x:v>No</x:v>
      </x:c>
      <x:c r="G7" t="str">
        <x:v>Yes</x:v>
      </x:c>
      <x:c r="H7" t="str">
        <x:v>Calibration</x:v>
      </x:c>
    </x:row>
    <x:row r="8">
      <x:c r="A8" t="str">
        <x:v>Document drafting samples</x:v>
      </x:c>
      <x:c r="B8" t="n">
        <x:f>COUNTIF(Eval_Input!B2:B41,"document_drafting")</x:f>
        <x:v>4</x:v>
      </x:c>
      <x:c r="D8" t="str">
        <x:v>Data route enum</x:v>
      </x:c>
      <x:c r="E8" t="str">
        <x:v>eval / sft / preference / badcase / human_review</x:v>
      </x:c>
      <x:c r="F8" t="str">
        <x:v>No</x:v>
      </x:c>
      <x:c r="G8" t="str">
        <x:v>Suggest</x:v>
      </x:c>
      <x:c r="H8" t="str">
        <x:v>Finalize</x:v>
      </x:c>
    </x:row>
    <x:row r="9">
      <x:c r="A9" t="str">
        <x:v>Deep badcases</x:v>
      </x:c>
      <x:c r="B9" t="n">
        <x:f>COUNTIF(Eval_Input!O2:O41,"yes")</x:f>
        <x:v>6</x:v>
      </x:c>
      <x:c r="D9" t="str">
        <x:v>No leaderboard</x:v>
      </x:c>
      <x:c r="E9" t="str">
        <x:v>Dashboard diagnoses data actions, not model rank</x:v>
      </x:c>
      <x:c r="F9" t="str">
        <x:v>N/A</x:v>
      </x:c>
      <x:c r="G9" t="str">
        <x:v>N/A</x:v>
      </x:c>
      <x:c r="H9" t="str">
        <x:v>N/A</x:v>
      </x:c>
    </x:row>
    <x:row r="10">
      <x:c r="A10" t="str">
        <x:v>Rubric atomic items</x:v>
      </x:c>
      <x:c r="B10" t="n">
        <x:f>COUNTA(Rubric_Items!A2:A201)</x:f>
        <x:v>200</x:v>
      </x:c>
    </x:row>
    <x:row r="11">
      <x:c r="A11" t="str">
        <x:v>Planned full V0/V3 runs, 3 models</x:v>
      </x:c>
      <x:c r="B11" t="n">
        <x:f>B5*3*2</x:f>
        <x:v>240</x:v>
      </x:c>
    </x:row>
    <x:row r="12">
      <x:c r="A12" t="str">
        <x:v>Planned deep V0-V3 runs, 3 models</x:v>
      </x:c>
      <x:c r="B12" t="n">
        <x:f>B9*3*4</x:f>
        <x:v>72</x:v>
      </x:c>
    </x:row>
    <x:row r="14">
      <x:c r="A14" s="22" t="str">
        <x:v>Recommended 2-day execution plan</x:v>
      </x:c>
      <x:c r="B14" s="22" t="str"/>
      <x:c r="C14" s="22" t="str"/>
      <x:c r="D14" s="22" t="str"/>
      <x:c r="E14" s="22" t="str"/>
      <x:c r="F14" s="22" t="str"/>
      <x:c r="G14" s="22" t="str"/>
      <x:c r="H14" s="22" t="str"/>
    </x:row>
    <x:row r="15">
      <x:c r="A15" s="13" t="str">
        <x:v>1. Run V0/V3 on all 40 samples for 2–3 models; store one row per run in Model_Run_Log_Template.</x:v>
      </x:c>
      <x:c r="B15" s="13" t="str"/>
      <x:c r="C15" s="13" t="str"/>
      <x:c r="D15" s="13" t="str"/>
      <x:c r="E15" s="13" t="str"/>
      <x:c r="F15" s="13" t="str"/>
      <x:c r="G15" s="13" t="str"/>
      <x:c r="H15" s="13" t="str"/>
    </x:row>
    <x:row r="16">
      <x:c r="A16" s="13" t="str">
        <x:v>2. Run V1/V2 on 6 deep badcases; V2 must be blind and only review V0 output.</x:v>
      </x:c>
      <x:c r="B16" s="13" t="str"/>
      <x:c r="C16" s="13" t="str"/>
      <x:c r="D16" s="13" t="str"/>
      <x:c r="E16" s="13" t="str"/>
      <x:c r="F16" s="13" t="str"/>
      <x:c r="G16" s="13" t="str"/>
      <x:c r="H16" s="13" t="str"/>
    </x:row>
    <x:row r="17">
      <x:c r="A17" s="13" t="str">
        <x:v>3. Use task-specific Judge prompts to produce Judge_Scores_Template; score_rate = total_score / max_score.</x:v>
      </x:c>
      <x:c r="B17" s="13" t="str"/>
      <x:c r="C17" s="13" t="str"/>
      <x:c r="D17" s="13" t="str"/>
      <x:c r="E17" s="13" t="str"/>
      <x:c r="F17" s="13" t="str"/>
      <x:c r="G17" s="13" t="str"/>
      <x:c r="H17" s="13" t="str"/>
    </x:row>
    <x:row r="18">
      <x:c r="A18" s="13" t="str">
        <x:v>4. Use Data_Routing_Rules to route badcases to eval, sft, preference, badcase, or human_review.</x:v>
      </x:c>
      <x:c r="B18" s="13" t="str"/>
      <x:c r="C18" s="13" t="str"/>
      <x:c r="D18" s="13" t="str"/>
      <x:c r="E18" s="13" t="str"/>
      <x:c r="F18" s="13" t="str"/>
      <x:c r="G18" s="13" t="str"/>
      <x:c r="H18" s="13" t="str"/>
    </x:row>
    <x:row r="19">
      <x:c r="A19" s="13" t="str">
        <x:v>5. Human review high-risk or low-confidence samples; do not claim automatic legal correctness.</x:v>
      </x:c>
      <x:c r="B19" s="13" t="str"/>
      <x:c r="C19" s="13" t="str"/>
      <x:c r="D19" s="13" t="str"/>
      <x:c r="E19" s="13" t="str"/>
      <x:c r="F19" s="13" t="str"/>
      <x:c r="G19" s="13" t="str"/>
      <x:c r="H19" s="13" t="str"/>
    </x:row>
    <x:row r="20">
      <x:c r="A20" s="13" t="str">
        <x:v>6. Use dashboard and badcase cards as portfolio screenshots.</x:v>
      </x:c>
      <x:c r="B20" s="13" t="str"/>
      <x:c r="C20" s="13" t="str"/>
      <x:c r="D20" s="13" t="str"/>
      <x:c r="E20" s="13" t="str"/>
      <x:c r="F20" s="13" t="str"/>
      <x:c r="G20" s="13" t="str"/>
      <x:c r="H20" s="13" t="str"/>
    </x:row>
  </x:sheetData>
  <x:mergeCells>
    <x:mergeCell ref="A1:H1"/>
    <x:mergeCell ref="A2:H2"/>
    <x:mergeCell ref="A15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0" hidden="0" customWidth="1"/>
    <x:col min="5" max="5" width="12" hidden="0" customWidth="1"/>
    <x:col min="6" max="6" width="12" hidden="0" customWidth="1"/>
    <x:col min="7" max="7" width="44" hidden="0" customWidth="1"/>
    <x:col min="8" max="8" width="50" hidden="0" customWidth="1"/>
    <x:col min="9" max="9" width="34" hidden="0" customWidth="1"/>
    <x:col min="10" max="10" width="12" hidden="0" customWidth="1"/>
    <x:col min="11" max="11" width="14" hidden="0" customWidth="1"/>
    <x:col min="12" max="12" width="40" hidden="0" customWidth="1"/>
    <x:col min="13" max="13" width="20" hidden="0" customWidth="1"/>
    <x:col min="14" max="14" width="14" hidden="0" customWidth="1"/>
    <x:col min="15" max="15" width="14" hidden="0" customWidth="1"/>
    <x:col min="16" max="16" width="18" hidden="0" customWidth="1"/>
  </x:cols>
  <x:sheetData>
    <x:row r="1">
      <x:c r="A1" s="48" t="str">
        <x:v>sample_id</x:v>
      </x:c>
      <x:c r="B1" s="48" t="str">
        <x:v>task_category</x:v>
      </x:c>
      <x:c r="C1" s="48" t="str">
        <x:v>legal_domain</x:v>
      </x:c>
      <x:c r="D1" s="48" t="str">
        <x:v>task_type</x:v>
      </x:c>
      <x:c r="E1" s="48" t="str">
        <x:v>difficulty</x:v>
      </x:c>
      <x:c r="F1" s="48" t="str">
        <x:v>risk_level</x:v>
      </x:c>
      <x:c r="G1" s="48" t="str">
        <x:v>user_question</x:v>
      </x:c>
      <x:c r="H1" s="48" t="str">
        <x:v>known_facts</x:v>
      </x:c>
      <x:c r="I1" s="48" t="str">
        <x:v>legal_concepts</x:v>
      </x:c>
      <x:c r="J1" s="48" t="str">
        <x:v>jurisdiction</x:v>
      </x:c>
      <x:c r="K1" s="48" t="str">
        <x:v>law_snapshot_date</x:v>
      </x:c>
      <x:c r="L1" s="48" t="str">
        <x:v>legal_advice_boundary</x:v>
      </x:c>
      <x:c r="M1" s="48" t="str">
        <x:v>visibility_policy</x:v>
      </x:c>
      <x:c r="N1" s="48" t="str">
        <x:v>core_sample_flag</x:v>
      </x:c>
      <x:c r="O1" s="48" t="str">
        <x:v>deep_badcase_flag</x:v>
      </x:c>
      <x:c r="P1" s="48" t="str">
        <x:v>human_review_required</x:v>
      </x:c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L-001</x:v>
      </x:c>
      <x:c r="B2" s="30" t="str">
        <x:v>consultation</x:v>
      </x:c>
      <x:c r="C2" s="30" t="str">
        <x:v>劳动/用工</x:v>
      </x:c>
      <x:c r="D2" s="30" t="str">
        <x:v>intake+risk_review</x:v>
      </x:c>
      <x:c r="E2" s="30" t="str">
        <x:v>medium</x:v>
      </x:c>
      <x:c r="F2" s="30" t="str">
        <x:v>medium</x:v>
      </x:c>
      <x:c r="G2" s="30" t="str">
        <x:v>试用期被公司辞退，公司只说我不符合录用条件，我能要求赔偿吗？</x:v>
      </x:c>
      <x:c r="H2" s="30" t="str">
        <x:v>试用期被解除，公司理由笼统，未说明录用条件、考核证据和解除程序。</x:v>
      </x:c>
      <x:c r="I2" s="30" t="str">
        <x:v>试用期解除；录用条件；违法解除；劳动仲裁</x:v>
      </x:c>
      <x:c r="J2" s="30" t="str">
        <x:v>中国大陆</x:v>
      </x:c>
      <x:c r="K2" s="30" t="str">
        <x:v>2026-07-07</x:v>
      </x:c>
      <x:c r="L2" s="30" t="str">
        <x:v>仅作一般法律信息与评测样本，不替代律师意见。</x:v>
      </x:c>
      <x:c r="M2" s="30" t="str">
        <x:v>agent_visible_only</x:v>
      </x:c>
      <x:c r="N2" s="30" t="str">
        <x:v>yes</x:v>
      </x:c>
      <x:c r="O2" s="30" t="str">
        <x:v>yes</x:v>
      </x:c>
      <x:c r="P2" s="30" t="str">
        <x:v>no</x:v>
      </x:c>
    </x:row>
    <x:row r="3">
      <x:c r="A3" s="30" t="str">
        <x:v>L-002</x:v>
      </x:c>
      <x:c r="B3" s="30" t="str">
        <x:v>consultation</x:v>
      </x:c>
      <x:c r="C3" s="30" t="str">
        <x:v>劳动/用工</x:v>
      </x:c>
      <x:c r="D3" s="30" t="str">
        <x:v>intake+analysis</x:v>
      </x:c>
      <x:c r="E3" s="30" t="str">
        <x:v>medium</x:v>
      </x:c>
      <x:c r="F3" s="30" t="str">
        <x:v>medium</x:v>
      </x:c>
      <x:c r="G3" s="30" t="str">
        <x:v>入职半年公司一直没签劳动合同，我可以要双倍工资吗？</x:v>
      </x:c>
      <x:c r="H3" s="30" t="str">
        <x:v>工作约半年但未签书面合同，未说明工资、考勤、社保和是否签过其他协议。</x:v>
      </x:c>
      <x:c r="I3" s="30" t="str">
        <x:v>未签劳动合同；双倍工资；事实劳动关系；仲裁时效</x:v>
      </x:c>
      <x:c r="J3" s="30" t="str">
        <x:v>中国大陆</x:v>
      </x:c>
      <x:c r="K3" s="30" t="str">
        <x:v>2026-07-07</x:v>
      </x:c>
      <x:c r="L3" s="30" t="str">
        <x:v>仅作一般法律信息与评测样本，不替代律师意见。</x:v>
      </x:c>
      <x:c r="M3" s="30" t="str">
        <x:v>agent_visible_only</x:v>
      </x:c>
      <x:c r="N3" s="30" t="str">
        <x:v>yes</x:v>
      </x:c>
      <x:c r="O3" s="30" t="str">
        <x:v>no</x:v>
      </x:c>
      <x:c r="P3" s="30" t="str">
        <x:v>no</x:v>
      </x:c>
    </x:row>
    <x:row r="4">
      <x:c r="A4" s="30" t="str">
        <x:v>L-003</x:v>
      </x:c>
      <x:c r="B4" s="30" t="str">
        <x:v>consultation</x:v>
      </x:c>
      <x:c r="C4" s="30" t="str">
        <x:v>劳动/用工</x:v>
      </x:c>
      <x:c r="D4" s="30" t="str">
        <x:v>intake+risk_review</x:v>
      </x:c>
      <x:c r="E4" s="30" t="str">
        <x:v>medium</x:v>
      </x:c>
      <x:c r="F4" s="30" t="str">
        <x:v>medium</x:v>
      </x:c>
      <x:c r="G4" s="30" t="str">
        <x:v>公司经常要求我下班后加班，但没有加班费，我该怎么办？</x:v>
      </x:c>
      <x:c r="H4" s="30" t="str">
        <x:v>用户称长期加班未付加班费，未说明考勤、审批、任务安排和工资构成。</x:v>
      </x:c>
      <x:c r="I4" s="30" t="str">
        <x:v>加班费；考勤证据；举证责任；劳动仲裁</x:v>
      </x:c>
      <x:c r="J4" s="30" t="str">
        <x:v>中国大陆</x:v>
      </x:c>
      <x:c r="K4" s="30" t="str">
        <x:v>2026-07-07</x:v>
      </x:c>
      <x:c r="L4" s="30" t="str">
        <x:v>仅作一般法律信息与评测样本，不替代律师意见。</x:v>
      </x:c>
      <x:c r="M4" s="30" t="str">
        <x:v>agent_visible_only</x:v>
      </x:c>
      <x:c r="N4" s="30" t="str">
        <x:v>yes</x:v>
      </x:c>
      <x:c r="O4" s="30" t="str">
        <x:v>no</x:v>
      </x:c>
      <x:c r="P4" s="30" t="str">
        <x:v>no</x:v>
      </x:c>
    </x:row>
    <x:row r="5">
      <x:c r="A5" s="30" t="str">
        <x:v>L-004</x:v>
      </x:c>
      <x:c r="B5" s="30" t="str">
        <x:v>consultation</x:v>
      </x:c>
      <x:c r="C5" s="30" t="str">
        <x:v>劳动/用工</x:v>
      </x:c>
      <x:c r="D5" s="30" t="str">
        <x:v>intake+analysis</x:v>
      </x:c>
      <x:c r="E5" s="30" t="str">
        <x:v>medium</x:v>
      </x:c>
      <x:c r="F5" s="30" t="str">
        <x:v>medium</x:v>
      </x:c>
      <x:c r="G5" s="30" t="str">
        <x:v>公司突然通知我调岗降薪，我不同意，可以要求赔偿吗？</x:v>
      </x:c>
      <x:c r="H5" s="30" t="str">
        <x:v>公司通知调岗降薪，用户不同意，未说明合同岗位、薪资结构和调岗理由。</x:v>
      </x:c>
      <x:c r="I5" s="30" t="str">
        <x:v>调岗降薪；劳动合同变更；协商一致；违法解除</x:v>
      </x:c>
      <x:c r="J5" s="30" t="str">
        <x:v>中国大陆</x:v>
      </x:c>
      <x:c r="K5" s="30" t="str">
        <x:v>2026-07-07</x:v>
      </x:c>
      <x:c r="L5" s="30" t="str">
        <x:v>仅作一般法律信息与评测样本，不替代律师意见。</x:v>
      </x:c>
      <x:c r="M5" s="30" t="str">
        <x:v>agent_visible_only</x:v>
      </x:c>
      <x:c r="N5" s="30" t="str">
        <x:v>yes</x:v>
      </x:c>
      <x:c r="O5" s="30" t="str">
        <x:v>no</x:v>
      </x:c>
      <x:c r="P5" s="30" t="str">
        <x:v>no</x:v>
      </x:c>
    </x:row>
    <x:row r="6">
      <x:c r="A6" s="30" t="str">
        <x:v>L-005</x:v>
      </x:c>
      <x:c r="B6" s="30" t="str">
        <x:v>consultation</x:v>
      </x:c>
      <x:c r="C6" s="30" t="str">
        <x:v>劳动/平台用工</x:v>
      </x:c>
      <x:c r="D6" s="30" t="str">
        <x:v>intake+risk_review</x:v>
      </x:c>
      <x:c r="E6" s="30" t="str">
        <x:v>high</x:v>
      </x:c>
      <x:c r="F6" s="30" t="str">
        <x:v>high</x:v>
      </x:c>
      <x:c r="G6" s="30" t="str">
        <x:v>我给平台送外卖时摔伤了，平台说我是众包不是员工，能要求赔偿吗？</x:v>
      </x:c>
      <x:c r="H6" s="30" t="str">
        <x:v>配送过程中受伤，平台否认劳动关系，未说明协议、管理规则、事故原因和保险。</x:v>
      </x:c>
      <x:c r="I6" s="30" t="str">
        <x:v>平台用工；劳动关系；劳务关系；工伤；商业保险</x:v>
      </x:c>
      <x:c r="J6" s="30" t="str">
        <x:v>中国大陆</x:v>
      </x:c>
      <x:c r="K6" s="30" t="str">
        <x:v>2026-07-07</x:v>
      </x:c>
      <x:c r="L6" s="30" t="str">
        <x:v>仅作一般法律信息与评测样本，不替代律师意见。</x:v>
      </x:c>
      <x:c r="M6" s="30" t="str">
        <x:v>agent_visible_only</x:v>
      </x:c>
      <x:c r="N6" s="30" t="str">
        <x:v>yes</x:v>
      </x:c>
      <x:c r="O6" s="30" t="str">
        <x:v>no</x:v>
      </x:c>
      <x:c r="P6" s="30" t="str">
        <x:v>yes</x:v>
      </x:c>
    </x:row>
    <x:row r="7">
      <x:c r="A7" s="30" t="str">
        <x:v>L-006</x:v>
      </x:c>
      <x:c r="B7" s="30" t="str">
        <x:v>consultation</x:v>
      </x:c>
      <x:c r="C7" s="30" t="str">
        <x:v>工程/合同</x:v>
      </x:c>
      <x:c r="D7" s="30" t="str">
        <x:v>intake+risk_review</x:v>
      </x:c>
      <x:c r="E7" s="30" t="str">
        <x:v>high</x:v>
      </x:c>
      <x:c r="F7" s="30" t="str">
        <x:v>high</x:v>
      </x:c>
      <x:c r="G7" s="30" t="str">
        <x:v>我口头承接装修工程，甲方不付工程款，工人也找我要工资，怎么办？</x:v>
      </x:c>
      <x:c r="H7" s="30" t="str">
        <x:v>口头承接装修，无正式合同，甲方未付款，工人追讨工资。</x:v>
      </x:c>
      <x:c r="I7" s="30" t="str">
        <x:v>口头合同；工程款；工资支付；多方责任</x:v>
      </x:c>
      <x:c r="J7" s="30" t="str">
        <x:v>中国大陆</x:v>
      </x:c>
      <x:c r="K7" s="30" t="str">
        <x:v>2026-07-07</x:v>
      </x:c>
      <x:c r="L7" s="30" t="str">
        <x:v>仅作一般法律信息与评测样本，不替代律师意见。</x:v>
      </x:c>
      <x:c r="M7" s="30" t="str">
        <x:v>agent_visible_only</x:v>
      </x:c>
      <x:c r="N7" s="30" t="str">
        <x:v>yes</x:v>
      </x:c>
      <x:c r="O7" s="30" t="str">
        <x:v>no</x:v>
      </x:c>
      <x:c r="P7" s="30" t="str">
        <x:v>yes</x:v>
      </x:c>
    </x:row>
    <x:row r="8">
      <x:c r="A8" s="30" t="str">
        <x:v>L-007</x:v>
      </x:c>
      <x:c r="B8" s="30" t="str">
        <x:v>consultation</x:v>
      </x:c>
      <x:c r="C8" s="30" t="str">
        <x:v>劳动/离职</x:v>
      </x:c>
      <x:c r="D8" s="30" t="str">
        <x:v>review+rewrite</x:v>
      </x:c>
      <x:c r="E8" s="30" t="str">
        <x:v>medium</x:v>
      </x:c>
      <x:c r="F8" s="30" t="str">
        <x:v>medium</x:v>
      </x:c>
      <x:c r="G8" s="30" t="str">
        <x:v>公司让我签离职协议，写自愿离职并放弃补偿，我签了还能反悔吗？</x:v>
      </x:c>
      <x:c r="H8" s="30" t="str">
        <x:v>用户已签离职协议，写明自愿离职和放弃补偿，未说明签署过程。</x:v>
      </x:c>
      <x:c r="I8" s="30" t="str">
        <x:v>离职协议；意思表示；撤销；补偿放弃</x:v>
      </x:c>
      <x:c r="J8" s="30" t="str">
        <x:v>中国大陆</x:v>
      </x:c>
      <x:c r="K8" s="30" t="str">
        <x:v>2026-07-07</x:v>
      </x:c>
      <x:c r="L8" s="30" t="str">
        <x:v>仅作一般法律信息与评测样本，不替代律师意见。</x:v>
      </x:c>
      <x:c r="M8" s="30" t="str">
        <x:v>agent_visible_only</x:v>
      </x:c>
      <x:c r="N8" s="30" t="str">
        <x:v>yes</x:v>
      </x:c>
      <x:c r="O8" s="30" t="str">
        <x:v>no</x:v>
      </x:c>
      <x:c r="P8" s="30" t="str">
        <x:v>no</x:v>
      </x:c>
    </x:row>
    <x:row r="9">
      <x:c r="A9" s="30" t="str">
        <x:v>L-008</x:v>
      </x:c>
      <x:c r="B9" s="30" t="str">
        <x:v>consultation</x:v>
      </x:c>
      <x:c r="C9" s="30" t="str">
        <x:v>合同/交易</x:v>
      </x:c>
      <x:c r="D9" s="30" t="str">
        <x:v>intake+rewrite</x:v>
      </x:c>
      <x:c r="E9" s="30" t="str">
        <x:v>low</x:v>
      </x:c>
      <x:c r="F9" s="30" t="str">
        <x:v>medium</x:v>
      </x:c>
      <x:c r="G9" s="30" t="str">
        <x:v>我交了定金，现在不想买了，对方不退，我能要回来吗？</x:v>
      </x:c>
      <x:c r="H9" s="30" t="str">
        <x:v>付款后不想继续交易，对方拒绝退款，款项性质和违约方不明。</x:v>
      </x:c>
      <x:c r="I9" s="30" t="str">
        <x:v>定金；订金；合同成立；违约责任</x:v>
      </x:c>
      <x:c r="J9" s="30" t="str">
        <x:v>中国大陆</x:v>
      </x:c>
      <x:c r="K9" s="30" t="str">
        <x:v>2026-07-07</x:v>
      </x:c>
      <x:c r="L9" s="30" t="str">
        <x:v>仅作一般法律信息与评测样本，不替代律师意见。</x:v>
      </x:c>
      <x:c r="M9" s="30" t="str">
        <x:v>agent_visible_only</x:v>
      </x:c>
      <x:c r="N9" s="30" t="str">
        <x:v>yes</x:v>
      </x:c>
      <x:c r="O9" s="30" t="str">
        <x:v>yes</x:v>
      </x:c>
      <x:c r="P9" s="30" t="str">
        <x:v>no</x:v>
      </x:c>
    </x:row>
    <x:row r="10">
      <x:c r="A10" s="30" t="str">
        <x:v>L-009</x:v>
      </x:c>
      <x:c r="B10" s="30" t="str">
        <x:v>consultation</x:v>
      </x:c>
      <x:c r="C10" s="30" t="str">
        <x:v>合同/交易</x:v>
      </x:c>
      <x:c r="D10" s="30" t="str">
        <x:v>legal_analysis</x:v>
      </x:c>
      <x:c r="E10" s="30" t="str">
        <x:v>medium</x:v>
      </x:c>
      <x:c r="F10" s="30" t="str">
        <x:v>medium</x:v>
      </x:c>
      <x:c r="G10" s="30" t="str">
        <x:v>合同约定违约金特别高，对方起诉要全额支付，法院会全部支持吗？</x:v>
      </x:c>
      <x:c r="H10" s="30" t="str">
        <x:v>合同有高额违约金，对方已起诉，实际损失和履行情况不明。</x:v>
      </x:c>
      <x:c r="I10" s="30" t="str">
        <x:v>违约金调整；实际损失；举证责任</x:v>
      </x:c>
      <x:c r="J10" s="30" t="str">
        <x:v>中国大陆</x:v>
      </x:c>
      <x:c r="K10" s="30" t="str">
        <x:v>2026-07-07</x:v>
      </x:c>
      <x:c r="L10" s="30" t="str">
        <x:v>仅作一般法律信息与评测样本，不替代律师意见。</x:v>
      </x:c>
      <x:c r="M10" s="30" t="str">
        <x:v>agent_visible_only</x:v>
      </x:c>
      <x:c r="N10" s="30" t="str">
        <x:v>yes</x:v>
      </x:c>
      <x:c r="O10" s="30" t="str">
        <x:v>no</x:v>
      </x:c>
      <x:c r="P10" s="30" t="str">
        <x:v>no</x:v>
      </x:c>
    </x:row>
    <x:row r="11">
      <x:c r="A11" s="30" t="str">
        <x:v>L-010</x:v>
      </x:c>
      <x:c r="B11" s="30" t="str">
        <x:v>consultation</x:v>
      </x:c>
      <x:c r="C11" s="30" t="str">
        <x:v>合同/借贷</x:v>
      </x:c>
      <x:c r="D11" s="30" t="str">
        <x:v>intake+analysis</x:v>
      </x:c>
      <x:c r="E11" s="30" t="str">
        <x:v>medium</x:v>
      </x:c>
      <x:c r="F11" s="30" t="str">
        <x:v>medium</x:v>
      </x:c>
      <x:c r="G11" s="30" t="str">
        <x:v>朋友借钱没有借条，只有微信聊天记录和转账记录，还能起诉吗？</x:v>
      </x:c>
      <x:c r="H11" s="30" t="str">
        <x:v>无借条，有聊天和转账，聊天是否明确借款不明。</x:v>
      </x:c>
      <x:c r="I11" s="30" t="str">
        <x:v>民间借贷；证据链；借贷合意</x:v>
      </x:c>
      <x:c r="J11" s="30" t="str">
        <x:v>中国大陆</x:v>
      </x:c>
      <x:c r="K11" s="30" t="str">
        <x:v>2026-07-07</x:v>
      </x:c>
      <x:c r="L11" s="30" t="str">
        <x:v>仅作一般法律信息与评测样本，不替代律师意见。</x:v>
      </x:c>
      <x:c r="M11" s="30" t="str">
        <x:v>agent_visible_only</x:v>
      </x:c>
      <x:c r="N11" s="30" t="str">
        <x:v>yes</x:v>
      </x:c>
      <x:c r="O11" s="30" t="str">
        <x:v>no</x:v>
      </x:c>
      <x:c r="P11" s="30" t="str">
        <x:v>no</x:v>
      </x:c>
    </x:row>
    <x:row r="12">
      <x:c r="A12" s="30" t="str">
        <x:v>L-011</x:v>
      </x:c>
      <x:c r="B12" s="30" t="str">
        <x:v>consultation</x:v>
      </x:c>
      <x:c r="C12" s="30" t="str">
        <x:v>合同/交易</x:v>
      </x:c>
      <x:c r="D12" s="30" t="str">
        <x:v>intake+analysis</x:v>
      </x:c>
      <x:c r="E12" s="30" t="str">
        <x:v>medium</x:v>
      </x:c>
      <x:c r="F12" s="30" t="str">
        <x:v>medium</x:v>
      </x:c>
      <x:c r="G12" s="30" t="str">
        <x:v>销售口头承诺给我优惠，签合同后公司不认了，还能要求按承诺履行吗？</x:v>
      </x:c>
      <x:c r="H12" s="30" t="str">
        <x:v>销售口头承诺优惠，公司否认，未说明录音、聊天、合同条款和授权。</x:v>
      </x:c>
      <x:c r="I12" s="30" t="str">
        <x:v>口头承诺；代理权限；合同条款；证据</x:v>
      </x:c>
      <x:c r="J12" s="30" t="str">
        <x:v>中国大陆</x:v>
      </x:c>
      <x:c r="K12" s="30" t="str">
        <x:v>2026-07-07</x:v>
      </x:c>
      <x:c r="L12" s="30" t="str">
        <x:v>仅作一般法律信息与评测样本，不替代律师意见。</x:v>
      </x:c>
      <x:c r="M12" s="30" t="str">
        <x:v>agent_visible_only</x:v>
      </x:c>
      <x:c r="N12" s="30" t="str">
        <x:v>yes</x:v>
      </x:c>
      <x:c r="O12" s="30" t="str">
        <x:v>no</x:v>
      </x:c>
      <x:c r="P12" s="30" t="str">
        <x:v>no</x:v>
      </x:c>
    </x:row>
    <x:row r="13">
      <x:c r="A13" s="30" t="str">
        <x:v>L-012</x:v>
      </x:c>
      <x:c r="B13" s="30" t="str">
        <x:v>consultation</x:v>
      </x:c>
      <x:c r="C13" s="30" t="str">
        <x:v>租赁/房屋</x:v>
      </x:c>
      <x:c r="D13" s="30" t="str">
        <x:v>intake+rewrite</x:v>
      </x:c>
      <x:c r="E13" s="30" t="str">
        <x:v>low</x:v>
      </x:c>
      <x:c r="F13" s="30" t="str">
        <x:v>medium</x:v>
      </x:c>
      <x:c r="G13" s="30" t="str">
        <x:v>租房到期后房东说房屋有损坏，不退押金，我该怎么要回来？</x:v>
      </x:c>
      <x:c r="H13" s="30" t="str">
        <x:v>房东以损坏为由拒退押金，合同和交接证据不明。</x:v>
      </x:c>
      <x:c r="I13" s="30" t="str">
        <x:v>租赁合同；押金返还；正常损耗；证据固定</x:v>
      </x:c>
      <x:c r="J13" s="30" t="str">
        <x:v>中国大陆</x:v>
      </x:c>
      <x:c r="K13" s="30" t="str">
        <x:v>2026-07-07</x:v>
      </x:c>
      <x:c r="L13" s="30" t="str">
        <x:v>仅作一般法律信息与评测样本，不替代律师意见。</x:v>
      </x:c>
      <x:c r="M13" s="30" t="str">
        <x:v>agent_visible_only</x:v>
      </x:c>
      <x:c r="N13" s="30" t="str">
        <x:v>yes</x:v>
      </x:c>
      <x:c r="O13" s="30" t="str">
        <x:v>no</x:v>
      </x:c>
      <x:c r="P13" s="30" t="str">
        <x:v>no</x:v>
      </x:c>
    </x:row>
    <x:row r="14">
      <x:c r="A14" s="30" t="str">
        <x:v>L-013</x:v>
      </x:c>
      <x:c r="B14" s="30" t="str">
        <x:v>consultation</x:v>
      </x:c>
      <x:c r="C14" s="30" t="str">
        <x:v>消费者/教育培训</x:v>
      </x:c>
      <x:c r="D14" s="30" t="str">
        <x:v>intake+rewrite</x:v>
      </x:c>
      <x:c r="E14" s="30" t="str">
        <x:v>medium</x:v>
      </x:c>
      <x:c r="F14" s="30" t="str">
        <x:v>medium</x:v>
      </x:c>
      <x:c r="G14" s="30" t="str">
        <x:v>买的课程和宣传差很多，内容缩水，机构只退一小部分钱，能全额退款吗？</x:v>
      </x:c>
      <x:c r="H14" s="30" t="str">
        <x:v>课程交付与宣传不符，已上课比例和退款条款不明。</x:v>
      </x:c>
      <x:c r="I14" s="30" t="str">
        <x:v>培训合同；退款；虚假宣传；违约责任</x:v>
      </x:c>
      <x:c r="J14" s="30" t="str">
        <x:v>中国大陆</x:v>
      </x:c>
      <x:c r="K14" s="30" t="str">
        <x:v>2026-07-07</x:v>
      </x:c>
      <x:c r="L14" s="30" t="str">
        <x:v>仅作一般法律信息与评测样本，不替代律师意见。</x:v>
      </x:c>
      <x:c r="M14" s="30" t="str">
        <x:v>agent_visible_only</x:v>
      </x:c>
      <x:c r="N14" s="30" t="str">
        <x:v>yes</x:v>
      </x:c>
      <x:c r="O14" s="30" t="str">
        <x:v>no</x:v>
      </x:c>
      <x:c r="P14" s="30" t="str">
        <x:v>no</x:v>
      </x:c>
    </x:row>
    <x:row r="15">
      <x:c r="A15" s="30" t="str">
        <x:v>L-014</x:v>
      </x:c>
      <x:c r="B15" s="30" t="str">
        <x:v>consultation</x:v>
      </x:c>
      <x:c r="C15" s="30" t="str">
        <x:v>消费者/平台</x:v>
      </x:c>
      <x:c r="D15" s="30" t="str">
        <x:v>intake+risk_review</x:v>
      </x:c>
      <x:c r="E15" s="30" t="str">
        <x:v>high</x:v>
      </x:c>
      <x:c r="F15" s="30" t="str">
        <x:v>high</x:v>
      </x:c>
      <x:c r="G15" s="30" t="str">
        <x:v>网购商品宣传和实际不符，商家只同意退货不同意赔偿，我能要求三倍赔偿吗？</x:v>
      </x:c>
      <x:c r="H15" s="30" t="str">
        <x:v>商品宣传与实际不符，商家同意退货但拒赔，欺诈证据不明。</x:v>
      </x:c>
      <x:c r="I15" s="30" t="str">
        <x:v>消费者权益；欺诈；三倍赔偿；平台责任</x:v>
      </x:c>
      <x:c r="J15" s="30" t="str">
        <x:v>中国大陆</x:v>
      </x:c>
      <x:c r="K15" s="30" t="str">
        <x:v>2026-07-07</x:v>
      </x:c>
      <x:c r="L15" s="30" t="str">
        <x:v>仅作一般法律信息与评测样本，不替代律师意见。</x:v>
      </x:c>
      <x:c r="M15" s="30" t="str">
        <x:v>agent_visible_only</x:v>
      </x:c>
      <x:c r="N15" s="30" t="str">
        <x:v>yes</x:v>
      </x:c>
      <x:c r="O15" s="30" t="str">
        <x:v>yes</x:v>
      </x:c>
      <x:c r="P15" s="30" t="str">
        <x:v>yes</x:v>
      </x:c>
    </x:row>
    <x:row r="16">
      <x:c r="A16" s="30" t="str">
        <x:v>L-015</x:v>
      </x:c>
      <x:c r="B16" s="30" t="str">
        <x:v>consultation</x:v>
      </x:c>
      <x:c r="C16" s="30" t="str">
        <x:v>消费者/平台</x:v>
      </x:c>
      <x:c r="D16" s="30" t="str">
        <x:v>intake+risk_review</x:v>
      </x:c>
      <x:c r="E16" s="30" t="str">
        <x:v>medium</x:v>
      </x:c>
      <x:c r="F16" s="30" t="str">
        <x:v>medium</x:v>
      </x:c>
      <x:c r="G16" s="30" t="str">
        <x:v>平台商家收了钱不发货，现在店铺关了，平台有没有责任？</x:v>
      </x:c>
      <x:c r="H16" s="30" t="str">
        <x:v>平台交易后商家关店不发货，平台规则和支付路径不明。</x:v>
      </x:c>
      <x:c r="I16" s="30" t="str">
        <x:v>平台责任；买卖合同；先行赔付</x:v>
      </x:c>
      <x:c r="J16" s="30" t="str">
        <x:v>中国大陆</x:v>
      </x:c>
      <x:c r="K16" s="30" t="str">
        <x:v>2026-07-07</x:v>
      </x:c>
      <x:c r="L16" s="30" t="str">
        <x:v>仅作一般法律信息与评测样本，不替代律师意见。</x:v>
      </x:c>
      <x:c r="M16" s="30" t="str">
        <x:v>agent_visible_only</x:v>
      </x:c>
      <x:c r="N16" s="30" t="str">
        <x:v>yes</x:v>
      </x:c>
      <x:c r="O16" s="30" t="str">
        <x:v>no</x:v>
      </x:c>
      <x:c r="P16" s="30" t="str">
        <x:v>no</x:v>
      </x:c>
    </x:row>
    <x:row r="17">
      <x:c r="A17" s="30" t="str">
        <x:v>L-016</x:v>
      </x:c>
      <x:c r="B17" s="30" t="str">
        <x:v>consultation</x:v>
      </x:c>
      <x:c r="C17" s="30" t="str">
        <x:v>消费者/平台</x:v>
      </x:c>
      <x:c r="D17" s="30" t="str">
        <x:v>intake+risk_tagging</x:v>
      </x:c>
      <x:c r="E17" s="30" t="str">
        <x:v>medium</x:v>
      </x:c>
      <x:c r="F17" s="30" t="str">
        <x:v>medium</x:v>
      </x:c>
      <x:c r="G17" s="30" t="str">
        <x:v>二手平台买到疑似假货，卖家失联，平台说只是信息发布方，平台要赔吗？</x:v>
      </x:c>
      <x:c r="H17" s="30" t="str">
        <x:v>二手平台交易，疑似假货，卖家失联，平台介入程度不明。</x:v>
      </x:c>
      <x:c r="I17" s="30" t="str">
        <x:v>二手交易；假货；平台责任；鉴定证据</x:v>
      </x:c>
      <x:c r="J17" s="30" t="str">
        <x:v>中国大陆</x:v>
      </x:c>
      <x:c r="K17" s="30" t="str">
        <x:v>2026-07-07</x:v>
      </x:c>
      <x:c r="L17" s="30" t="str">
        <x:v>仅作一般法律信息与评测样本，不替代律师意见。</x:v>
      </x:c>
      <x:c r="M17" s="30" t="str">
        <x:v>agent_visible_only</x:v>
      </x:c>
      <x:c r="N17" s="30" t="str">
        <x:v>yes</x:v>
      </x:c>
      <x:c r="O17" s="30" t="str">
        <x:v>no</x:v>
      </x:c>
      <x:c r="P17" s="30" t="str">
        <x:v>no</x:v>
      </x:c>
    </x:row>
    <x:row r="18">
      <x:c r="A18" s="30" t="str">
        <x:v>L-017</x:v>
      </x:c>
      <x:c r="B18" s="30" t="str">
        <x:v>consultation</x:v>
      </x:c>
      <x:c r="C18" s="30" t="str">
        <x:v>消费者/平台</x:v>
      </x:c>
      <x:c r="D18" s="30" t="str">
        <x:v>legal_analysis</x:v>
      </x:c>
      <x:c r="E18" s="30" t="str">
        <x:v>high</x:v>
      </x:c>
      <x:c r="F18" s="30" t="str">
        <x:v>medium</x:v>
      </x:c>
      <x:c r="G18" s="30" t="str">
        <x:v>高级会员订酒店价格比门市还贵，平台宣传会员价更优惠，这算欺诈吗？</x:v>
      </x:c>
      <x:c r="H18" s="30" t="str">
        <x:v>平台有会员优惠宣传，用户发现价格高于门市，代理角色不明。</x:v>
      </x:c>
      <x:c r="I18" s="30" t="str">
        <x:v>信息披露；价格差异；消费者欺诈；算法定价</x:v>
      </x:c>
      <x:c r="J18" s="30" t="str">
        <x:v>中国大陆</x:v>
      </x:c>
      <x:c r="K18" s="30" t="str">
        <x:v>2026-07-07</x:v>
      </x:c>
      <x:c r="L18" s="30" t="str">
        <x:v>仅作一般法律信息与评测样本，不替代律师意见。</x:v>
      </x:c>
      <x:c r="M18" s="30" t="str">
        <x:v>agent_visible_only</x:v>
      </x:c>
      <x:c r="N18" s="30" t="str">
        <x:v>yes</x:v>
      </x:c>
      <x:c r="O18" s="30" t="str">
        <x:v>no</x:v>
      </x:c>
      <x:c r="P18" s="30" t="str">
        <x:v>no</x:v>
      </x:c>
    </x:row>
    <x:row r="19">
      <x:c r="A19" s="30" t="str">
        <x:v>L-018</x:v>
      </x:c>
      <x:c r="B19" s="30" t="str">
        <x:v>consultation</x:v>
      </x:c>
      <x:c r="C19" s="30" t="str">
        <x:v>侵权/经营场所</x:v>
      </x:c>
      <x:c r="D19" s="30" t="str">
        <x:v>legal_analysis</x:v>
      </x:c>
      <x:c r="E19" s="30" t="str">
        <x:v>medium</x:v>
      </x:c>
      <x:c r="F19" s="30" t="str">
        <x:v>medium</x:v>
      </x:c>
      <x:c r="G19" s="30" t="str">
        <x:v>我在餐厅包间门口台阶摔倒受伤，餐厅说有提示牌不赔，可以要求赔偿吗？</x:v>
      </x:c>
      <x:c r="H19" s="30" t="str">
        <x:v>餐厅台阶摔倒，提示牌是否明显和现场证据不明。</x:v>
      </x:c>
      <x:c r="I19" s="30" t="str">
        <x:v>安全保障义务；过失相抵；侵权责任</x:v>
      </x:c>
      <x:c r="J19" s="30" t="str">
        <x:v>中国大陆</x:v>
      </x:c>
      <x:c r="K19" s="30" t="str">
        <x:v>2026-07-07</x:v>
      </x:c>
      <x:c r="L19" s="30" t="str">
        <x:v>仅作一般法律信息与评测样本，不替代律师意见。</x:v>
      </x:c>
      <x:c r="M19" s="30" t="str">
        <x:v>agent_visible_only</x:v>
      </x:c>
      <x:c r="N19" s="30" t="str">
        <x:v>yes</x:v>
      </x:c>
      <x:c r="O19" s="30" t="str">
        <x:v>no</x:v>
      </x:c>
      <x:c r="P19" s="30" t="str">
        <x:v>no</x:v>
      </x:c>
    </x:row>
    <x:row r="20">
      <x:c r="A20" s="30" t="str">
        <x:v>L-019</x:v>
      </x:c>
      <x:c r="B20" s="30" t="str">
        <x:v>consultation</x:v>
      </x:c>
      <x:c r="C20" s="30" t="str">
        <x:v>合同/IP/AI服务</x:v>
      </x:c>
      <x:c r="D20" s="30" t="str">
        <x:v>intake+analysis+rewrite</x:v>
      </x:c>
      <x:c r="E20" s="30" t="str">
        <x:v>high</x:v>
      </x:c>
      <x:c r="F20" s="30" t="str">
        <x:v>high</x:v>
      </x:c>
      <x:c r="G20" s="30" t="str">
        <x:v>我们做 AIGC 互动光影设计，甲方说素材侵权要求解约并拒付尾款，我们能维权吗？</x:v>
      </x:c>
      <x:c r="H20" s="30" t="str">
        <x:v>AIGC 设计服务合同，甲方以素材侵权和效果不合格解约拒付。</x:v>
      </x:c>
      <x:c r="I20" s="30" t="str">
        <x:v>服务合同；知识产权；素材授权；验收；解除权</x:v>
      </x:c>
      <x:c r="J20" s="30" t="str">
        <x:v>中国大陆</x:v>
      </x:c>
      <x:c r="K20" s="30" t="str">
        <x:v>2026-07-07</x:v>
      </x:c>
      <x:c r="L20" s="30" t="str">
        <x:v>仅作一般法律信息与评测样本，不替代律师意见。</x:v>
      </x:c>
      <x:c r="M20" s="30" t="str">
        <x:v>agent_visible_only</x:v>
      </x:c>
      <x:c r="N20" s="30" t="str">
        <x:v>yes</x:v>
      </x:c>
      <x:c r="O20" s="30" t="str">
        <x:v>yes</x:v>
      </x:c>
      <x:c r="P20" s="30" t="str">
        <x:v>yes</x:v>
      </x:c>
    </x:row>
    <x:row r="21">
      <x:c r="A21" s="30" t="str">
        <x:v>L-020</x:v>
      </x:c>
      <x:c r="B21" s="30" t="str">
        <x:v>consultation</x:v>
      </x:c>
      <x:c r="C21" s="30" t="str">
        <x:v>房屋买卖/合同</x:v>
      </x:c>
      <x:c r="D21" s="30" t="str">
        <x:v>intake+analysis</x:v>
      </x:c>
      <x:c r="E21" s="30" t="str">
        <x:v>high</x:v>
      </x:c>
      <x:c r="F21" s="30" t="str">
        <x:v>high</x:v>
      </x:c>
      <x:c r="G21" s="30" t="str">
        <x:v>签了房屋买卖意向协议并交定金，贷款材料没办好，卖方说违约没收定金，合理吗？</x:v>
      </x:c>
      <x:c r="H21" s="30" t="str">
        <x:v>房屋意向协议和定金，因贷款材料未推进，卖方主张违约。</x:v>
      </x:c>
      <x:c r="I21" s="30" t="str">
        <x:v>房屋买卖；定金罚则；代理；合同履行</x:v>
      </x:c>
      <x:c r="J21" s="30" t="str">
        <x:v>中国大陆</x:v>
      </x:c>
      <x:c r="K21" s="30" t="str">
        <x:v>2026-07-07</x:v>
      </x:c>
      <x:c r="L21" s="30" t="str">
        <x:v>仅作一般法律信息与评测样本，不替代律师意见。</x:v>
      </x:c>
      <x:c r="M21" s="30" t="str">
        <x:v>agent_visible_only</x:v>
      </x:c>
      <x:c r="N21" s="30" t="str">
        <x:v>yes</x:v>
      </x:c>
      <x:c r="O21" s="30" t="str">
        <x:v>no</x:v>
      </x:c>
      <x:c r="P21" s="30" t="str">
        <x:v>yes</x:v>
      </x:c>
    </x:row>
    <x:row r="22">
      <x:c r="A22" s="30" t="str">
        <x:v>L-021</x:v>
      </x:c>
      <x:c r="B22" s="30" t="str">
        <x:v>consultation</x:v>
      </x:c>
      <x:c r="C22" s="30" t="str">
        <x:v>公司/股权/债务</x:v>
      </x:c>
      <x:c r="D22" s="30" t="str">
        <x:v>intake+analysis</x:v>
      </x:c>
      <x:c r="E22" s="30" t="str">
        <x:v>high</x:v>
      </x:c>
      <x:c r="F22" s="30" t="str">
        <x:v>high</x:v>
      </x:c>
      <x:c r="G22" s="30" t="str">
        <x:v>工厂老板用股权质押借钱，债权人要控制工厂，员工担心工资和安置，怎么办？</x:v>
      </x:c>
      <x:c r="H22" s="30" t="str">
        <x:v>股权质押融资，债权人主张控制经营，员工权益担忧。</x:v>
      </x:c>
      <x:c r="I22" s="30" t="str">
        <x:v>股权质押；公司债务；劳动债权；公司治理</x:v>
      </x:c>
      <x:c r="J22" s="30" t="str">
        <x:v>中国大陆</x:v>
      </x:c>
      <x:c r="K22" s="30" t="str">
        <x:v>2026-07-07</x:v>
      </x:c>
      <x:c r="L22" s="30" t="str">
        <x:v>仅作一般法律信息与评测样本，不替代律师意见。</x:v>
      </x:c>
      <x:c r="M22" s="30" t="str">
        <x:v>agent_visible_only</x:v>
      </x:c>
      <x:c r="N22" s="30" t="str">
        <x:v>yes</x:v>
      </x:c>
      <x:c r="O22" s="30" t="str">
        <x:v>no</x:v>
      </x:c>
      <x:c r="P22" s="30" t="str">
        <x:v>yes</x:v>
      </x:c>
    </x:row>
    <x:row r="23">
      <x:c r="A23" s="30" t="str">
        <x:v>L-022</x:v>
      </x:c>
      <x:c r="B23" s="30" t="str">
        <x:v>consultation</x:v>
      </x:c>
      <x:c r="C23" s="30" t="str">
        <x:v>民刑交叉/供应链</x:v>
      </x:c>
      <x:c r="D23" s="30" t="str">
        <x:v>claim_verification</x:v>
      </x:c>
      <x:c r="E23" s="30" t="str">
        <x:v>high</x:v>
      </x:c>
      <x:c r="F23" s="30" t="str">
        <x:v>high</x:v>
      </x:c>
      <x:c r="G23" s="30" t="str">
        <x:v>被自称央企员工的人骗做供应链交易，钱打给第三方公司，能让央企和收款公司赔吗？</x:v>
      </x:c>
      <x:c r="H23" s="30" t="str">
        <x:v>供应链交易被骗，涉及自称央企员工、第三方收款、刑民交叉。</x:v>
      </x:c>
      <x:c r="I23" s="30" t="str">
        <x:v>表见代理；不当得利；共同侵权；赃款追缴</x:v>
      </x:c>
      <x:c r="J23" s="30" t="str">
        <x:v>中国大陆</x:v>
      </x:c>
      <x:c r="K23" s="30" t="str">
        <x:v>2026-07-07</x:v>
      </x:c>
      <x:c r="L23" s="30" t="str">
        <x:v>仅作一般法律信息与评测样本，不替代律师意见。</x:v>
      </x:c>
      <x:c r="M23" s="30" t="str">
        <x:v>agent_visible_only</x:v>
      </x:c>
      <x:c r="N23" s="30" t="str">
        <x:v>yes</x:v>
      </x:c>
      <x:c r="O23" s="30" t="str">
        <x:v>no</x:v>
      </x:c>
      <x:c r="P23" s="30" t="str">
        <x:v>yes</x:v>
      </x:c>
    </x:row>
    <x:row r="24">
      <x:c r="A24" s="30" t="str">
        <x:v>L-023</x:v>
      </x:c>
      <x:c r="B24" s="30" t="str">
        <x:v>consultation</x:v>
      </x:c>
      <x:c r="C24" s="30" t="str">
        <x:v>民间借贷/担保</x:v>
      </x:c>
      <x:c r="D24" s="30" t="str">
        <x:v>intake+grounding</x:v>
      </x:c>
      <x:c r="E24" s="30" t="str">
        <x:v>medium</x:v>
      </x:c>
      <x:c r="F24" s="30" t="str">
        <x:v>medium</x:v>
      </x:c>
      <x:c r="G24" s="30" t="str">
        <x:v>给朋友借款做担保，债务人说债务转给别人了，我还要承担责任吗？</x:v>
      </x:c>
      <x:c r="H24" s="30" t="str">
        <x:v>担保借款后债务人称债务转移，保证方式和债权人同意不明。</x:v>
      </x:c>
      <x:c r="I24" s="30" t="str">
        <x:v>保证责任；保证期间；债务转移；债权人同意</x:v>
      </x:c>
      <x:c r="J24" s="30" t="str">
        <x:v>中国大陆</x:v>
      </x:c>
      <x:c r="K24" s="30" t="str">
        <x:v>2026-07-07</x:v>
      </x:c>
      <x:c r="L24" s="30" t="str">
        <x:v>仅作一般法律信息与评测样本，不替代律师意见。</x:v>
      </x:c>
      <x:c r="M24" s="30" t="str">
        <x:v>agent_visible_only</x:v>
      </x:c>
      <x:c r="N24" s="30" t="str">
        <x:v>yes</x:v>
      </x:c>
      <x:c r="O24" s="30" t="str">
        <x:v>no</x:v>
      </x:c>
      <x:c r="P24" s="30" t="str">
        <x:v>no</x:v>
      </x:c>
    </x:row>
    <x:row r="25">
      <x:c r="A25" s="30" t="str">
        <x:v>L-024</x:v>
      </x:c>
      <x:c r="B25" s="30" t="str">
        <x:v>consultation</x:v>
      </x:c>
      <x:c r="C25" s="30" t="str">
        <x:v>平台/中介/贷款</x:v>
      </x:c>
      <x:c r="D25" s="30" t="str">
        <x:v>intake+claim_verification</x:v>
      </x:c>
      <x:c r="E25" s="30" t="str">
        <x:v>high</x:v>
      </x:c>
      <x:c r="F25" s="30" t="str">
        <x:v>high</x:v>
      </x:c>
      <x:c r="G25" s="30" t="str">
        <x:v>网拍模特中介让我贷款交服务费，说能接单赚钱，现在没服务还让我还贷款，怎么办？</x:v>
      </x:c>
      <x:c r="H25" s="30" t="str">
        <x:v>签服务/形象包装协议并贷款支付，服务未兑现，贷款仍需还。</x:v>
      </x:c>
      <x:c r="I25" s="30" t="str">
        <x:v>服务合同；贷款合同；诈骗风险；征信风险</x:v>
      </x:c>
      <x:c r="J25" s="30" t="str">
        <x:v>中国大陆</x:v>
      </x:c>
      <x:c r="K25" s="30" t="str">
        <x:v>2026-07-07</x:v>
      </x:c>
      <x:c r="L25" s="30" t="str">
        <x:v>仅作一般法律信息与评测样本，不替代律师意见。</x:v>
      </x:c>
      <x:c r="M25" s="30" t="str">
        <x:v>agent_visible_only</x:v>
      </x:c>
      <x:c r="N25" s="30" t="str">
        <x:v>yes</x:v>
      </x:c>
      <x:c r="O25" s="30" t="str">
        <x:v>yes</x:v>
      </x:c>
      <x:c r="P25" s="30" t="str">
        <x:v>yes</x:v>
      </x:c>
    </x:row>
    <x:row r="26">
      <x:c r="A26" s="30" t="str">
        <x:v>L-025</x:v>
      </x:c>
      <x:c r="B26" s="30" t="str">
        <x:v>case_analysis</x:v>
      </x:c>
      <x:c r="C26" s="30" t="str">
        <x:v>消费者权益</x:v>
      </x:c>
      <x:c r="D26" s="30" t="str">
        <x:v>case_analysis</x:v>
      </x:c>
      <x:c r="E26" s="30" t="str">
        <x:v>medium</x:v>
      </x:c>
      <x:c r="F26" s="30" t="str">
        <x:v>medium</x:v>
      </x:c>
      <x:c r="G26" s="30" t="str">
        <x:v>案例分析：少量购买食品试用后又大批量采购准备转售，发现标签和资质问题，能否就全部购买主张惩罚性赔偿？</x:v>
      </x:c>
      <x:c r="H26" s="30" t="str">
        <x:v>首次少量购买，后续批量采购并可能转售，产品标签/资质存在争议。</x:v>
      </x:c>
      <x:c r="I26" s="30" t="str">
        <x:v>消费者身份；惩罚性赔偿；欺诈；经营性购买</x:v>
      </x:c>
      <x:c r="J26" s="30" t="str">
        <x:v>中国大陆</x:v>
      </x:c>
      <x:c r="K26" s="30" t="str">
        <x:v>2026-07-07</x:v>
      </x:c>
      <x:c r="L26" s="30" t="str">
        <x:v>仅作一般法律信息与评测样本，不替代律师意见。</x:v>
      </x:c>
      <x:c r="M26" s="30" t="str">
        <x:v>agent_visible_only</x:v>
      </x:c>
      <x:c r="N26" s="30" t="str">
        <x:v>yes</x:v>
      </x:c>
      <x:c r="O26" s="30" t="str">
        <x:v>no</x:v>
      </x:c>
      <x:c r="P26" s="30" t="str">
        <x:v>no</x:v>
      </x:c>
    </x:row>
    <x:row r="27">
      <x:c r="A27" s="30" t="str">
        <x:v>L-026</x:v>
      </x:c>
      <x:c r="B27" s="30" t="str">
        <x:v>case_analysis</x:v>
      </x:c>
      <x:c r="C27" s="30" t="str">
        <x:v>侵权责任</x:v>
      </x:c>
      <x:c r="D27" s="30" t="str">
        <x:v>case_analysis</x:v>
      </x:c>
      <x:c r="E27" s="30" t="str">
        <x:v>medium</x:v>
      </x:c>
      <x:c r="F27" s="30" t="str">
        <x:v>medium</x:v>
      </x:c>
      <x:c r="G27" s="30" t="str">
        <x:v>案例分析：顾客在餐厅包间门口台阶摔倒，现场有提示但不明显，餐厅是否担责？</x:v>
      </x:c>
      <x:c r="H27" s="30" t="str">
        <x:v>餐厅台阶存在，提示不明显，顾客受伤。</x:v>
      </x:c>
      <x:c r="I27" s="30" t="str">
        <x:v>安全保障义务；过失相抵；因果关系</x:v>
      </x:c>
      <x:c r="J27" s="30" t="str">
        <x:v>中国大陆</x:v>
      </x:c>
      <x:c r="K27" s="30" t="str">
        <x:v>2026-07-07</x:v>
      </x:c>
      <x:c r="L27" s="30" t="str">
        <x:v>仅作一般法律信息与评测样本，不替代律师意见。</x:v>
      </x:c>
      <x:c r="M27" s="30" t="str">
        <x:v>agent_visible_only</x:v>
      </x:c>
      <x:c r="N27" s="30" t="str">
        <x:v>yes</x:v>
      </x:c>
      <x:c r="O27" s="30" t="str">
        <x:v>no</x:v>
      </x:c>
      <x:c r="P27" s="30" t="str">
        <x:v>no</x:v>
      </x:c>
    </x:row>
    <x:row r="28">
      <x:c r="A28" s="30" t="str">
        <x:v>L-027</x:v>
      </x:c>
      <x:c r="B28" s="30" t="str">
        <x:v>case_analysis</x:v>
      </x:c>
      <x:c r="C28" s="30" t="str">
        <x:v>平台/消费者</x:v>
      </x:c>
      <x:c r="D28" s="30" t="str">
        <x:v>case_analysis</x:v>
      </x:c>
      <x:c r="E28" s="30" t="str">
        <x:v>high</x:v>
      </x:c>
      <x:c r="F28" s="30" t="str">
        <x:v>medium</x:v>
      </x:c>
      <x:c r="G28" s="30" t="str">
        <x:v>案例分析：旅游平台宣传会员价更优惠，但会员价高于门市价，平台是否欺诈或违约？</x:v>
      </x:c>
      <x:c r="H28" s="30" t="str">
        <x:v>会员价格高于门市价，平台存在优惠宣传和第三方代理。</x:v>
      </x:c>
      <x:c r="I28" s="30" t="str">
        <x:v>信息披露；消费者欺诈；平台责任；动态定价</x:v>
      </x:c>
      <x:c r="J28" s="30" t="str">
        <x:v>中国大陆</x:v>
      </x:c>
      <x:c r="K28" s="30" t="str">
        <x:v>2026-07-07</x:v>
      </x:c>
      <x:c r="L28" s="30" t="str">
        <x:v>仅作一般法律信息与评测样本，不替代律师意见。</x:v>
      </x:c>
      <x:c r="M28" s="30" t="str">
        <x:v>agent_visible_only</x:v>
      </x:c>
      <x:c r="N28" s="30" t="str">
        <x:v>yes</x:v>
      </x:c>
      <x:c r="O28" s="30" t="str">
        <x:v>no</x:v>
      </x:c>
      <x:c r="P28" s="30" t="str">
        <x:v>no</x:v>
      </x:c>
    </x:row>
    <x:row r="29">
      <x:c r="A29" s="30" t="str">
        <x:v>L-028</x:v>
      </x:c>
      <x:c r="B29" s="30" t="str">
        <x:v>case_analysis</x:v>
      </x:c>
      <x:c r="C29" s="30" t="str">
        <x:v>劳动/用工</x:v>
      </x:c>
      <x:c r="D29" s="30" t="str">
        <x:v>case_analysis</x:v>
      </x:c>
      <x:c r="E29" s="30" t="str">
        <x:v>medium</x:v>
      </x:c>
      <x:c r="F29" s="30" t="str">
        <x:v>medium</x:v>
      </x:c>
      <x:c r="G29" s="30" t="str">
        <x:v>案例分析：员工试用期被解除，公司未提交明确录用条件和考核记录，解除是否合法？</x:v>
      </x:c>
      <x:c r="H29" s="30" t="str">
        <x:v>试用期解除，公司证据不足。</x:v>
      </x:c>
      <x:c r="I29" s="30" t="str">
        <x:v>试用期解除；录用条件；举证责任</x:v>
      </x:c>
      <x:c r="J29" s="30" t="str">
        <x:v>中国大陆</x:v>
      </x:c>
      <x:c r="K29" s="30" t="str">
        <x:v>2026-07-07</x:v>
      </x:c>
      <x:c r="L29" s="30" t="str">
        <x:v>仅作一般法律信息与评测样本，不替代律师意见。</x:v>
      </x:c>
      <x:c r="M29" s="30" t="str">
        <x:v>agent_visible_only</x:v>
      </x:c>
      <x:c r="N29" s="30" t="str">
        <x:v>yes</x:v>
      </x:c>
      <x:c r="O29" s="30" t="str">
        <x:v>no</x:v>
      </x:c>
      <x:c r="P29" s="30" t="str">
        <x:v>no</x:v>
      </x:c>
    </x:row>
    <x:row r="30">
      <x:c r="A30" s="30" t="str">
        <x:v>L-029</x:v>
      </x:c>
      <x:c r="B30" s="30" t="str">
        <x:v>case_analysis</x:v>
      </x:c>
      <x:c r="C30" s="30" t="str">
        <x:v>劳动/用工</x:v>
      </x:c>
      <x:c r="D30" s="30" t="str">
        <x:v>case_analysis</x:v>
      </x:c>
      <x:c r="E30" s="30" t="str">
        <x:v>medium</x:v>
      </x:c>
      <x:c r="F30" s="30" t="str">
        <x:v>medium</x:v>
      </x:c>
      <x:c r="G30" s="30" t="str">
        <x:v>案例分析：员工工作一年后主张未签劳动合同双倍工资，哪些期间可能被支持？</x:v>
      </x:c>
      <x:c r="H30" s="30" t="str">
        <x:v>工作一年以上未签合同，后续主张双倍工资。</x:v>
      </x:c>
      <x:c r="I30" s="30" t="str">
        <x:v>双倍工资；仲裁时效；起算期间</x:v>
      </x:c>
      <x:c r="J30" s="30" t="str">
        <x:v>中国大陆</x:v>
      </x:c>
      <x:c r="K30" s="30" t="str">
        <x:v>2026-07-07</x:v>
      </x:c>
      <x:c r="L30" s="30" t="str">
        <x:v>仅作一般法律信息与评测样本，不替代律师意见。</x:v>
      </x:c>
      <x:c r="M30" s="30" t="str">
        <x:v>agent_visible_only</x:v>
      </x:c>
      <x:c r="N30" s="30" t="str">
        <x:v>yes</x:v>
      </x:c>
      <x:c r="O30" s="30" t="str">
        <x:v>no</x:v>
      </x:c>
      <x:c r="P30" s="30" t="str">
        <x:v>no</x:v>
      </x:c>
    </x:row>
    <x:row r="31">
      <x:c r="A31" s="30" t="str">
        <x:v>L-030</x:v>
      </x:c>
      <x:c r="B31" s="30" t="str">
        <x:v>case_analysis</x:v>
      </x:c>
      <x:c r="C31" s="30" t="str">
        <x:v>合同/交易</x:v>
      </x:c>
      <x:c r="D31" s="30" t="str">
        <x:v>case_analysis</x:v>
      </x:c>
      <x:c r="E31" s="30" t="str">
        <x:v>medium</x:v>
      </x:c>
      <x:c r="F31" s="30" t="str">
        <x:v>medium</x:v>
      </x:c>
      <x:c r="G31" s="30" t="str">
        <x:v>案例分析：买方交定金后因自身原因不履行，但卖方也迟延交付资料，定金如何处理？</x:v>
      </x:c>
      <x:c r="H31" s="30" t="str">
        <x:v>双方均可能有违约因素，定金罚则适用不明。</x:v>
      </x:c>
      <x:c r="I31" s="30" t="str">
        <x:v>定金罚则；双方违约；因果关系</x:v>
      </x:c>
      <x:c r="J31" s="30" t="str">
        <x:v>中国大陆</x:v>
      </x:c>
      <x:c r="K31" s="30" t="str">
        <x:v>2026-07-07</x:v>
      </x:c>
      <x:c r="L31" s="30" t="str">
        <x:v>仅作一般法律信息与评测样本，不替代律师意见。</x:v>
      </x:c>
      <x:c r="M31" s="30" t="str">
        <x:v>agent_visible_only</x:v>
      </x:c>
      <x:c r="N31" s="30" t="str">
        <x:v>yes</x:v>
      </x:c>
      <x:c r="O31" s="30" t="str">
        <x:v>no</x:v>
      </x:c>
      <x:c r="P31" s="30" t="str">
        <x:v>no</x:v>
      </x:c>
    </x:row>
    <x:row r="32">
      <x:c r="A32" s="30" t="str">
        <x:v>L-031</x:v>
      </x:c>
      <x:c r="B32" s="30" t="str">
        <x:v>case_analysis</x:v>
      </x:c>
      <x:c r="C32" s="30" t="str">
        <x:v>民间借贷/担保</x:v>
      </x:c>
      <x:c r="D32" s="30" t="str">
        <x:v>case_analysis</x:v>
      </x:c>
      <x:c r="E32" s="30" t="str">
        <x:v>medium</x:v>
      </x:c>
      <x:c r="F32" s="30" t="str">
        <x:v>medium</x:v>
      </x:c>
      <x:c r="G32" s="30" t="str">
        <x:v>案例分析：保证合同未写保证方式，债权人在保证期间届满后才起诉保证人，保证人是否担责？</x:v>
      </x:c>
      <x:c r="H32" s="30" t="str">
        <x:v>保证方式不明，起诉可能超过保证期间。</x:v>
      </x:c>
      <x:c r="I32" s="30" t="str">
        <x:v>保证方式；保证期间；抗辩</x:v>
      </x:c>
      <x:c r="J32" s="30" t="str">
        <x:v>中国大陆</x:v>
      </x:c>
      <x:c r="K32" s="30" t="str">
        <x:v>2026-07-07</x:v>
      </x:c>
      <x:c r="L32" s="30" t="str">
        <x:v>仅作一般法律信息与评测样本，不替代律师意见。</x:v>
      </x:c>
      <x:c r="M32" s="30" t="str">
        <x:v>agent_visible_only</x:v>
      </x:c>
      <x:c r="N32" s="30" t="str">
        <x:v>yes</x:v>
      </x:c>
      <x:c r="O32" s="30" t="str">
        <x:v>no</x:v>
      </x:c>
      <x:c r="P32" s="30" t="str">
        <x:v>no</x:v>
      </x:c>
    </x:row>
    <x:row r="33">
      <x:c r="A33" s="30" t="str">
        <x:v>L-032</x:v>
      </x:c>
      <x:c r="B33" s="30" t="str">
        <x:v>case_analysis</x:v>
      </x:c>
      <x:c r="C33" s="30" t="str">
        <x:v>合同/交易</x:v>
      </x:c>
      <x:c r="D33" s="30" t="str">
        <x:v>case_analysis</x:v>
      </x:c>
      <x:c r="E33" s="30" t="str">
        <x:v>medium</x:v>
      </x:c>
      <x:c r="F33" s="30" t="str">
        <x:v>medium</x:v>
      </x:c>
      <x:c r="G33" s="30" t="str">
        <x:v>案例分析：合同约定日违约金较高，实际损失较低，法院如何处理？</x:v>
      </x:c>
      <x:c r="H33" s="30" t="str">
        <x:v>高额违约金与低损失之间存在不匹配。</x:v>
      </x:c>
      <x:c r="I33" s="30" t="str">
        <x:v>违约金调整；实际损失；法院裁量</x:v>
      </x:c>
      <x:c r="J33" s="30" t="str">
        <x:v>中国大陆</x:v>
      </x:c>
      <x:c r="K33" s="30" t="str">
        <x:v>2026-07-07</x:v>
      </x:c>
      <x:c r="L33" s="30" t="str">
        <x:v>仅作一般法律信息与评测样本，不替代律师意见。</x:v>
      </x:c>
      <x:c r="M33" s="30" t="str">
        <x:v>agent_visible_only</x:v>
      </x:c>
      <x:c r="N33" s="30" t="str">
        <x:v>yes</x:v>
      </x:c>
      <x:c r="O33" s="30" t="str">
        <x:v>no</x:v>
      </x:c>
      <x:c r="P33" s="30" t="str">
        <x:v>no</x:v>
      </x:c>
    </x:row>
    <x:row r="34">
      <x:c r="A34" s="30" t="str">
        <x:v>L-033</x:v>
      </x:c>
      <x:c r="B34" s="30" t="str">
        <x:v>case_analysis</x:v>
      </x:c>
      <x:c r="C34" s="30" t="str">
        <x:v>消费者/教育培训</x:v>
      </x:c>
      <x:c r="D34" s="30" t="str">
        <x:v>case_analysis</x:v>
      </x:c>
      <x:c r="E34" s="30" t="str">
        <x:v>medium</x:v>
      </x:c>
      <x:c r="F34" s="30" t="str">
        <x:v>medium</x:v>
      </x:c>
      <x:c r="G34" s="30" t="str">
        <x:v>案例分析：培训机构交付课程低于宣传，学员已上部分课程，退款比例如何判断？</x:v>
      </x:c>
      <x:c r="H34" s="30" t="str">
        <x:v>课程缩水但已有部分履行。</x:v>
      </x:c>
      <x:c r="I34" s="30" t="str">
        <x:v>培训合同；部分履行；退款比例；虚假宣传</x:v>
      </x:c>
      <x:c r="J34" s="30" t="str">
        <x:v>中国大陆</x:v>
      </x:c>
      <x:c r="K34" s="30" t="str">
        <x:v>2026-07-07</x:v>
      </x:c>
      <x:c r="L34" s="30" t="str">
        <x:v>仅作一般法律信息与评测样本，不替代律师意见。</x:v>
      </x:c>
      <x:c r="M34" s="30" t="str">
        <x:v>agent_visible_only</x:v>
      </x:c>
      <x:c r="N34" s="30" t="str">
        <x:v>yes</x:v>
      </x:c>
      <x:c r="O34" s="30" t="str">
        <x:v>no</x:v>
      </x:c>
      <x:c r="P34" s="30" t="str">
        <x:v>no</x:v>
      </x:c>
    </x:row>
    <x:row r="35">
      <x:c r="A35" s="30" t="str">
        <x:v>L-034</x:v>
      </x:c>
      <x:c r="B35" s="30" t="str">
        <x:v>case_analysis</x:v>
      </x:c>
      <x:c r="C35" s="30" t="str">
        <x:v>知识产权/服务合同</x:v>
      </x:c>
      <x:c r="D35" s="30" t="str">
        <x:v>case_analysis</x:v>
      </x:c>
      <x:c r="E35" s="30" t="str">
        <x:v>high</x:v>
      </x:c>
      <x:c r="F35" s="30" t="str">
        <x:v>high</x:v>
      </x:c>
      <x:c r="G35" s="30" t="str">
        <x:v>案例分析：设计公司使用网络素材完成商业项目，客户被投诉侵权后拒付尾款，责任如何分配？</x:v>
      </x:c>
      <x:c r="H35" s="30" t="str">
        <x:v>商业设计项目使用网络素材并引发投诉。</x:v>
      </x:c>
      <x:c r="I35" s="30" t="str">
        <x:v>著作权；素材授权；服务合同；违约抗辩</x:v>
      </x:c>
      <x:c r="J35" s="30" t="str">
        <x:v>中国大陆</x:v>
      </x:c>
      <x:c r="K35" s="30" t="str">
        <x:v>2026-07-07</x:v>
      </x:c>
      <x:c r="L35" s="30" t="str">
        <x:v>仅作一般法律信息与评测样本，不替代律师意见。</x:v>
      </x:c>
      <x:c r="M35" s="30" t="str">
        <x:v>agent_visible_only</x:v>
      </x:c>
      <x:c r="N35" s="30" t="str">
        <x:v>yes</x:v>
      </x:c>
      <x:c r="O35" s="30" t="str">
        <x:v>no</x:v>
      </x:c>
      <x:c r="P35" s="30" t="str">
        <x:v>yes</x:v>
      </x:c>
    </x:row>
    <x:row r="36">
      <x:c r="A36" s="30" t="str">
        <x:v>L-035</x:v>
      </x:c>
      <x:c r="B36" s="30" t="str">
        <x:v>case_analysis</x:v>
      </x:c>
      <x:c r="C36" s="30" t="str">
        <x:v>租赁/房屋</x:v>
      </x:c>
      <x:c r="D36" s="30" t="str">
        <x:v>case_analysis</x:v>
      </x:c>
      <x:c r="E36" s="30" t="str">
        <x:v>medium</x:v>
      </x:c>
      <x:c r="F36" s="30" t="str">
        <x:v>medium</x:v>
      </x:c>
      <x:c r="G36" s="30" t="str">
        <x:v>案例分析：租赁合同未到期，房东提前收回房屋并只退租金，承租人能否主张违约责任？</x:v>
      </x:c>
      <x:c r="H36" s="30" t="str">
        <x:v>房东提前收回，承租人可能有搬迁和差价损失。</x:v>
      </x:c>
      <x:c r="I36" s="30" t="str">
        <x:v>租赁合同；提前解除；违约责任</x:v>
      </x:c>
      <x:c r="J36" s="30" t="str">
        <x:v>中国大陆</x:v>
      </x:c>
      <x:c r="K36" s="30" t="str">
        <x:v>2026-07-07</x:v>
      </x:c>
      <x:c r="L36" s="30" t="str">
        <x:v>仅作一般法律信息与评测样本，不替代律师意见。</x:v>
      </x:c>
      <x:c r="M36" s="30" t="str">
        <x:v>agent_visible_only</x:v>
      </x:c>
      <x:c r="N36" s="30" t="str">
        <x:v>yes</x:v>
      </x:c>
      <x:c r="O36" s="30" t="str">
        <x:v>no</x:v>
      </x:c>
      <x:c r="P36" s="30" t="str">
        <x:v>no</x:v>
      </x:c>
    </x:row>
    <x:row r="37">
      <x:c r="A37" s="30" t="str">
        <x:v>L-036</x:v>
      </x:c>
      <x:c r="B37" s="30" t="str">
        <x:v>case_analysis</x:v>
      </x:c>
      <x:c r="C37" s="30" t="str">
        <x:v>劳动/侵权</x:v>
      </x:c>
      <x:c r="D37" s="30" t="str">
        <x:v>case_analysis</x:v>
      </x:c>
      <x:c r="E37" s="30" t="str">
        <x:v>high</x:v>
      </x:c>
      <x:c r="F37" s="30" t="str">
        <x:v>high</x:v>
      </x:c>
      <x:c r="G37" s="30" t="str">
        <x:v>案例分析：雇员工作途中被第三方车辆撞伤，赔偿路径如何处理？</x:v>
      </x:c>
      <x:c r="H37" s="30" t="str">
        <x:v>工作途中第三方交通事故，用工关系性质不明。</x:v>
      </x:c>
      <x:c r="I37" s="30" t="str">
        <x:v>劳动/劳务；交通事故；责任竞合；保险</x:v>
      </x:c>
      <x:c r="J37" s="30" t="str">
        <x:v>中国大陆</x:v>
      </x:c>
      <x:c r="K37" s="30" t="str">
        <x:v>2026-07-07</x:v>
      </x:c>
      <x:c r="L37" s="30" t="str">
        <x:v>仅作一般法律信息与评测样本，不替代律师意见。</x:v>
      </x:c>
      <x:c r="M37" s="30" t="str">
        <x:v>agent_visible_only</x:v>
      </x:c>
      <x:c r="N37" s="30" t="str">
        <x:v>yes</x:v>
      </x:c>
      <x:c r="O37" s="30" t="str">
        <x:v>no</x:v>
      </x:c>
      <x:c r="P37" s="30" t="str">
        <x:v>yes</x:v>
      </x:c>
    </x:row>
    <x:row r="38">
      <x:c r="A38" s="30" t="str">
        <x:v>L-037</x:v>
      </x:c>
      <x:c r="B38" s="30" t="str">
        <x:v>document_drafting</x:v>
      </x:c>
      <x:c r="C38" s="30" t="str">
        <x:v>劳动/仲裁</x:v>
      </x:c>
      <x:c r="D38" s="30" t="str">
        <x:v>document_drafting</x:v>
      </x:c>
      <x:c r="E38" s="30" t="str">
        <x:v>medium</x:v>
      </x:c>
      <x:c r="F38" s="30" t="str">
        <x:v>medium</x:v>
      </x:c>
      <x:c r="G38" s="30" t="str">
        <x:v>文书任务：根据劳动者试用期被辞退的事实，起草劳动仲裁申请书要点。</x:v>
      </x:c>
      <x:c r="H38" s="30" t="str">
        <x:v>劳动者试用期被解除，公司称不符合录用条件。</x:v>
      </x:c>
      <x:c r="I38" s="30" t="str">
        <x:v>仲裁申请书；违法解除；证据目录</x:v>
      </x:c>
      <x:c r="J38" s="30" t="str">
        <x:v>中国大陆</x:v>
      </x:c>
      <x:c r="K38" s="30" t="str">
        <x:v>2026-07-07</x:v>
      </x:c>
      <x:c r="L38" s="30" t="str">
        <x:v>仅作一般法律信息与评测样本，不替代律师意见。</x:v>
      </x:c>
      <x:c r="M38" s="30" t="str">
        <x:v>agent_visible_only</x:v>
      </x:c>
      <x:c r="N38" s="30" t="str">
        <x:v>yes</x:v>
      </x:c>
      <x:c r="O38" s="30" t="str">
        <x:v>no</x:v>
      </x:c>
      <x:c r="P38" s="30" t="str">
        <x:v>no</x:v>
      </x:c>
    </x:row>
    <x:row r="39">
      <x:c r="A39" s="30" t="str">
        <x:v>L-038</x:v>
      </x:c>
      <x:c r="B39" s="30" t="str">
        <x:v>document_drafting</x:v>
      </x:c>
      <x:c r="C39" s="30" t="str">
        <x:v>消费者/合同</x:v>
      </x:c>
      <x:c r="D39" s="30" t="str">
        <x:v>document_drafting</x:v>
      </x:c>
      <x:c r="E39" s="30" t="str">
        <x:v>medium</x:v>
      </x:c>
      <x:c r="F39" s="30" t="str">
        <x:v>medium</x:v>
      </x:c>
      <x:c r="G39" s="30" t="str">
        <x:v>文书任务：课程宣传与交付严重不符，消费者准备起诉退款，请起草民事起诉状要点。</x:v>
      </x:c>
      <x:c r="H39" s="30" t="str">
        <x:v>消费者购买课程后认为内容缩水，机构拒绝全额退款。</x:v>
      </x:c>
      <x:c r="I39" s="30" t="str">
        <x:v>民事起诉状；服务合同；退款；证据目录</x:v>
      </x:c>
      <x:c r="J39" s="30" t="str">
        <x:v>中国大陆</x:v>
      </x:c>
      <x:c r="K39" s="30" t="str">
        <x:v>2026-07-07</x:v>
      </x:c>
      <x:c r="L39" s="30" t="str">
        <x:v>仅作一般法律信息与评测样本，不替代律师意见。</x:v>
      </x:c>
      <x:c r="M39" s="30" t="str">
        <x:v>agent_visible_only</x:v>
      </x:c>
      <x:c r="N39" s="30" t="str">
        <x:v>yes</x:v>
      </x:c>
      <x:c r="O39" s="30" t="str">
        <x:v>no</x:v>
      </x:c>
      <x:c r="P39" s="30" t="str">
        <x:v>no</x:v>
      </x:c>
    </x:row>
    <x:row r="40">
      <x:c r="A40" s="30" t="str">
        <x:v>L-039</x:v>
      </x:c>
      <x:c r="B40" s="30" t="str">
        <x:v>document_drafting</x:v>
      </x:c>
      <x:c r="C40" s="30" t="str">
        <x:v>合同/交易</x:v>
      </x:c>
      <x:c r="D40" s="30" t="str">
        <x:v>document_drafting</x:v>
      </x:c>
      <x:c r="E40" s="30" t="str">
        <x:v>medium</x:v>
      </x:c>
      <x:c r="F40" s="30" t="str">
        <x:v>medium</x:v>
      </x:c>
      <x:c r="G40" s="30" t="str">
        <x:v>文书任务：买卖合同定金争议，买方希望发函要求退还款项，请起草函件要点。</x:v>
      </x:c>
      <x:c r="H40" s="30" t="str">
        <x:v>交易未继续，对方拒退款，款项性质不清。</x:v>
      </x:c>
      <x:c r="I40" s="30" t="str">
        <x:v>催告函；定金/订金；合同解除</x:v>
      </x:c>
      <x:c r="J40" s="30" t="str">
        <x:v>中国大陆</x:v>
      </x:c>
      <x:c r="K40" s="30" t="str">
        <x:v>2026-07-07</x:v>
      </x:c>
      <x:c r="L40" s="30" t="str">
        <x:v>仅作一般法律信息与评测样本，不替代律师意见。</x:v>
      </x:c>
      <x:c r="M40" s="30" t="str">
        <x:v>agent_visible_only</x:v>
      </x:c>
      <x:c r="N40" s="30" t="str">
        <x:v>yes</x:v>
      </x:c>
      <x:c r="O40" s="30" t="str">
        <x:v>no</x:v>
      </x:c>
      <x:c r="P40" s="30" t="str">
        <x:v>no</x:v>
      </x:c>
    </x:row>
    <x:row r="41">
      <x:c r="A41" s="30" t="str">
        <x:v>L-040</x:v>
      </x:c>
      <x:c r="B41" s="30" t="str">
        <x:v>document_drafting</x:v>
      </x:c>
      <x:c r="C41" s="30" t="str">
        <x:v>合同/诉讼</x:v>
      </x:c>
      <x:c r="D41" s="30" t="str">
        <x:v>document_drafting</x:v>
      </x:c>
      <x:c r="E41" s="30" t="str">
        <x:v>medium</x:v>
      </x:c>
      <x:c r="F41" s="30" t="str">
        <x:v>medium</x:v>
      </x:c>
      <x:c r="G41" s="30" t="str">
        <x:v>文书任务：对方起诉要求高额违约金，被告认为明显过高，请起草答辩状要点。</x:v>
      </x:c>
      <x:c r="H41" s="30" t="str">
        <x:v>合同高额违约金，对方起诉，被告认为损失低。</x:v>
      </x:c>
      <x:c r="I41" s="30" t="str">
        <x:v>民事答辩状；违约金调整；证据目录</x:v>
      </x:c>
      <x:c r="J41" s="30" t="str">
        <x:v>中国大陆</x:v>
      </x:c>
      <x:c r="K41" s="30" t="str">
        <x:v>2026-07-07</x:v>
      </x:c>
      <x:c r="L41" s="30" t="str">
        <x:v>仅作一般法律信息与评测样本，不替代律师意见。</x:v>
      </x:c>
      <x:c r="M41" s="30" t="str">
        <x:v>agent_visible_only</x:v>
      </x:c>
      <x:c r="N41" s="30" t="str">
        <x:v>yes</x:v>
      </x:c>
      <x:c r="O41" s="30" t="str">
        <x:v>yes</x:v>
      </x:c>
      <x:c r="P41" s="30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52" hidden="0" customWidth="1"/>
    <x:col min="4" max="4" width="52" hidden="0" customWidth="1"/>
    <x:col min="5" max="5" width="54" hidden="0" customWidth="1"/>
    <x:col min="6" max="6" width="42" hidden="0" customWidth="1"/>
    <x:col min="7" max="7" width="38" hidden="0" customWidth="1"/>
    <x:col min="8" max="8" width="24" hidden="0" customWidth="1"/>
  </x:cols>
  <x:sheetData>
    <x:row r="1">
      <x:c r="A1" s="48" t="str">
        <x:v>sample_id</x:v>
      </x:c>
      <x:c r="B1" s="48" t="str">
        <x:v>expected_behavior</x:v>
      </x:c>
      <x:c r="C1" s="48" t="str">
        <x:v>key_missing_facts</x:v>
      </x:c>
      <x:c r="D1" s="48" t="str">
        <x:v>expected_clarification_questions</x:v>
      </x:c>
      <x:c r="E1" s="48" t="str">
        <x:v>expected_answer_points</x:v>
      </x:c>
      <x:c r="F1" s="48" t="str">
        <x:v>risk_points</x:v>
      </x:c>
      <x:c r="G1" s="48" t="str">
        <x:v>human_review_note</x:v>
      </x:c>
      <x:c r="H1" s="48" t="str">
        <x:v>gold_visible_to</x:v>
      </x:c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L-001</x:v>
      </x:c>
      <x:c r="B2" s="30" t="str">
        <x:v>先识别事实不足并提出必要追问，再给条件化分析、风险提示和下一步建议。</x:v>
      </x:c>
      <x:c r="C2" s="30" t="str">
        <x:v>录用条件是否提前告知；考核记录；解除通知；劳动合同与试用期约定；工资和工作年限</x:v>
      </x:c>
      <x:c r="D2" s="30" t="str">
        <x:v>围绕主体、时间、合同/通知、证据、金额、程序路径追问；避免泛泛追问或诱导。</x:v>
      </x:c>
      <x:c r="E2" s="30" t="str">
        <x:v>不能直接判断违法解除；需先追问录用条件和证据；若公司无法证明，才可能主张违法解除。</x:v>
      </x:c>
      <x:c r="F2" s="30" t="str">
        <x:v>证据不足；仲裁时效；地区裁判差异；过度结论</x:v>
      </x:c>
      <x:c r="G2" s="30" t="str">
        <x:v>抽样复核；必要时校准 rubric。</x:v>
      </x:c>
      <x:c r="H2" s="30" t="str">
        <x:v>judge_and_human_only</x:v>
      </x:c>
    </x:row>
    <x:row r="3">
      <x:c r="A3" s="30" t="str">
        <x:v>L-002</x:v>
      </x:c>
      <x:c r="B3" s="30" t="str">
        <x:v>先识别事实不足并提出必要追问，再给条件化分析、风险提示和下一步建议。</x:v>
      </x:c>
      <x:c r="C3" s="30" t="str">
        <x:v>入职日期；工资记录；考勤；是否签过协议；社保；离职状态</x:v>
      </x:c>
      <x:c r="D3" s="30" t="str">
        <x:v>围绕主体、时间、合同/通知、证据、金额、程序路径追问；避免泛泛追问或诱导。</x:v>
      </x:c>
      <x:c r="E3" s="30" t="str">
        <x:v>先证明事实劳动关系，再判断双倍工资期间和时效；不能笼统承诺全部支持。</x:v>
      </x:c>
      <x:c r="F3" s="30" t="str">
        <x:v>事实劳动关系证明；仲裁时效；用工性质争议</x:v>
      </x:c>
      <x:c r="G3" s="30" t="str">
        <x:v>抽样复核；必要时校准 rubric。</x:v>
      </x:c>
      <x:c r="H3" s="30" t="str">
        <x:v>judge_and_human_only</x:v>
      </x:c>
    </x:row>
    <x:row r="4">
      <x:c r="A4" s="30" t="str">
        <x:v>L-003</x:v>
      </x:c>
      <x:c r="B4" s="30" t="str">
        <x:v>先识别事实不足并提出必要追问，再给条件化分析、风险提示和下一步建议。</x:v>
      </x:c>
      <x:c r="C4" s="30" t="str">
        <x:v>加班时间；单位安排证据；考勤记录；工资单；是否调休</x:v>
      </x:c>
      <x:c r="D4" s="30" t="str">
        <x:v>围绕主体、时间、合同/通知、证据、金额、程序路径追问；避免泛泛追问或诱导。</x:v>
      </x:c>
      <x:c r="E4" s="30" t="str">
        <x:v>加班费主张要证明单位安排和实际加班；先固定考勤、聊天、任务记录和工资单。</x:v>
      </x:c>
      <x:c r="F4" s="30" t="str">
        <x:v>证据不足；自愿加班与安排加班区分；仲裁时效</x:v>
      </x:c>
      <x:c r="G4" s="30" t="str">
        <x:v>抽样复核；必要时校准 rubric。</x:v>
      </x:c>
      <x:c r="H4" s="30" t="str">
        <x:v>judge_and_human_only</x:v>
      </x:c>
    </x:row>
    <x:row r="5">
      <x:c r="A5" s="30" t="str">
        <x:v>L-004</x:v>
      </x:c>
      <x:c r="B5" s="30" t="str">
        <x:v>先识别事实不足并提出必要追问，再给条件化分析、风险提示和下一步建议。</x:v>
      </x:c>
      <x:c r="C5" s="30" t="str">
        <x:v>合同岗位薪资；调岗理由；书面通知；是否协商；新岗位差异</x:v>
      </x:c>
      <x:c r="D5" s="30" t="str">
        <x:v>围绕主体、时间、合同/通知、证据、金额、程序路径追问；避免泛泛追问或诱导。</x:v>
      </x:c>
      <x:c r="E5" s="30" t="str">
        <x:v>用人单位重大变更通常需合理依据和协商；需避免直接建议拒不到岗。</x:v>
      </x:c>
      <x:c r="F5" s="30" t="str">
        <x:v>旷工风险；证据留存；沟通方式；仲裁时效</x:v>
      </x:c>
      <x:c r="G5" s="30" t="str">
        <x:v>抽样复核；必要时校准 rubric。</x:v>
      </x:c>
      <x:c r="H5" s="30" t="str">
        <x:v>judge_and_human_only</x:v>
      </x:c>
    </x:row>
    <x:row r="6">
      <x:c r="A6" s="30" t="str">
        <x:v>L-005</x:v>
      </x:c>
      <x:c r="B6" s="30" t="str">
        <x:v>先识别事实不足并提出必要追问，再给条件化分析、风险提示和下一步建议。</x:v>
      </x:c>
      <x:c r="C6" s="30" t="str">
        <x:v>签约主体；接单管理规则；报酬结算；事故证明；保险保障</x:v>
      </x:c>
      <x:c r="D6" s="30" t="str">
        <x:v>围绕主体、时间、合同/通知、证据、金额、程序路径追问；避免泛泛追问或诱导。</x:v>
      </x:c>
      <x:c r="E6" s="30" t="str">
        <x:v>需识别劳动/劳务/保险/侵权多路径，不能直接承诺工伤赔偿。</x:v>
      </x:c>
      <x:c r="F6" s="30" t="str">
        <x:v>关系认定不确定；保险条款；证据复杂；高风险人审</x:v>
      </x:c>
      <x:c r="G6" s="30" t="str">
        <x:v>高风险或 Judge 低置信时进入人工复核；可用于 gold sample 校准。</x:v>
      </x:c>
      <x:c r="H6" s="30" t="str">
        <x:v>judge_and_human_only</x:v>
      </x:c>
    </x:row>
    <x:row r="7">
      <x:c r="A7" s="30" t="str">
        <x:v>L-006</x:v>
      </x:c>
      <x:c r="B7" s="30" t="str">
        <x:v>先识别事实不足并提出必要追问，再给条件化分析、风险提示和下一步建议。</x:v>
      </x:c>
      <x:c r="C7" s="30" t="str">
        <x:v>聊天报价；材料单；验收交付；工人雇佣管理；甲方主体</x:v>
      </x:c>
      <x:c r="D7" s="30" t="str">
        <x:v>围绕主体、时间、合同/通知、证据、金额、程序路径追问；避免泛泛追问或诱导。</x:v>
      </x:c>
      <x:c r="E7" s="30" t="str">
        <x:v>拆分工程款追偿与工人工资责任，用证据证明施工和验收。</x:v>
      </x:c>
      <x:c r="F7" s="30" t="str">
        <x:v>证据链不足；工资支付风险；资质问题</x:v>
      </x:c>
      <x:c r="G7" s="30" t="str">
        <x:v>高风险或 Judge 低置信时进入人工复核；可用于 gold sample 校准。</x:v>
      </x:c>
      <x:c r="H7" s="30" t="str">
        <x:v>judge_and_human_only</x:v>
      </x:c>
    </x:row>
    <x:row r="8">
      <x:c r="A8" s="30" t="str">
        <x:v>L-007</x:v>
      </x:c>
      <x:c r="B8" s="30" t="str">
        <x:v>先识别事实不足并提出必要追问，再给条件化分析、风险提示和下一步建议。</x:v>
      </x:c>
      <x:c r="C8" s="30" t="str">
        <x:v>是否胁迫欺诈；沟通记录；协议履行；补偿支付；离职状态</x:v>
      </x:c>
      <x:c r="D8" s="30" t="str">
        <x:v>围绕主体、时间、合同/通知、证据、金额、程序路径追问；避免泛泛追问或诱导。</x:v>
      </x:c>
      <x:c r="E8" s="30" t="str">
        <x:v>已签协议通常有效；反悔需证明胁迫、欺诈、重大误解或显失公平。</x:v>
      </x:c>
      <x:c r="F8" s="30" t="str">
        <x:v>举证难；协议已履行；仲裁成本</x:v>
      </x:c>
      <x:c r="G8" s="30" t="str">
        <x:v>抽样复核；必要时校准 rubric。</x:v>
      </x:c>
      <x:c r="H8" s="30" t="str">
        <x:v>judge_and_human_only</x:v>
      </x:c>
    </x:row>
    <x:row r="9">
      <x:c r="A9" s="30" t="str">
        <x:v>L-008</x:v>
      </x:c>
      <x:c r="B9" s="30" t="str">
        <x:v>先识别事实不足并提出必要追问，再给条件化分析、风险提示和下一步建议。</x:v>
      </x:c>
      <x:c r="C9" s="30" t="str">
        <x:v>付款凭证写法；合同是否成立；谁违约；解除理由；商家违约情况</x:v>
      </x:c>
      <x:c r="D9" s="30" t="str">
        <x:v>围绕主体、时间、合同/通知、证据、金额、程序路径追问；避免泛泛追问或诱导。</x:v>
      </x:c>
      <x:c r="E9" s="30" t="str">
        <x:v>先区分定金/订金和违约方；不能简单说定金一定不能退。</x:v>
      </x:c>
      <x:c r="F9" s="30" t="str">
        <x:v>术语混淆；证据不足；过度结论</x:v>
      </x:c>
      <x:c r="G9" s="30" t="str">
        <x:v>抽样复核；必要时校准 rubric。</x:v>
      </x:c>
      <x:c r="H9" s="30" t="str">
        <x:v>judge_and_human_only</x:v>
      </x:c>
    </x:row>
    <x:row r="10">
      <x:c r="A10" s="30" t="str">
        <x:v>L-009</x:v>
      </x:c>
      <x:c r="B10" s="30" t="str">
        <x:v>先识别事实不足并提出必要追问，再给条件化分析、风险提示和下一步建议。</x:v>
      </x:c>
      <x:c r="C10" s="30" t="str">
        <x:v>违约金条款；实际损失；违约程度；履行情况；是否请求调整</x:v>
      </x:c>
      <x:c r="D10" s="30" t="str">
        <x:v>围绕主体、时间、合同/通知、证据、金额、程序路径追问；避免泛泛追问或诱导。</x:v>
      </x:c>
      <x:c r="E10" s="30" t="str">
        <x:v>可请求调整过高违约金，但是否支持取决于损失、过错和履行情况。</x:v>
      </x:c>
      <x:c r="F10" s="30" t="str">
        <x:v>举证责任；法院裁量；不能承诺必然调低</x:v>
      </x:c>
      <x:c r="G10" s="30" t="str">
        <x:v>抽样复核；必要时校准 rubric。</x:v>
      </x:c>
      <x:c r="H10" s="30" t="str">
        <x:v>judge_and_human_only</x:v>
      </x:c>
    </x:row>
    <x:row r="11">
      <x:c r="A11" s="30" t="str">
        <x:v>L-010</x:v>
      </x:c>
      <x:c r="B11" s="30" t="str">
        <x:v>先识别事实不足并提出必要追问，再给条件化分析、风险提示和下一步建议。</x:v>
      </x:c>
      <x:c r="C11" s="30" t="str">
        <x:v>聊天是否明确借款；转账备注；对方身份；还款承诺；催款记录</x:v>
      </x:c>
      <x:c r="D11" s="30" t="str">
        <x:v>围绕主体、时间、合同/通知、证据、金额、程序路径追问；避免泛泛追问或诱导。</x:v>
      </x:c>
      <x:c r="E11" s="30" t="str">
        <x:v>无借条仍可起诉，关键是形成借贷合意和转账证据链。</x:v>
      </x:c>
      <x:c r="F11" s="30" t="str">
        <x:v>转账性质争议；身份信息不足；诉讼成本</x:v>
      </x:c>
      <x:c r="G11" s="30" t="str">
        <x:v>抽样复核；必要时校准 rubric。</x:v>
      </x:c>
      <x:c r="H11" s="30" t="str">
        <x:v>judge_and_human_only</x:v>
      </x:c>
    </x:row>
    <x:row r="12">
      <x:c r="A12" s="30" t="str">
        <x:v>L-011</x:v>
      </x:c>
      <x:c r="B12" s="30" t="str">
        <x:v>先识别事实不足并提出必要追问，再给条件化分析、风险提示和下一步建议。</x:v>
      </x:c>
      <x:c r="C12" s="30" t="str">
        <x:v>承诺证据；合同是否排除口头承诺；销售授权；付款履行</x:v>
      </x:c>
      <x:c r="D12" s="30" t="str">
        <x:v>围绕主体、时间、合同/通知、证据、金额、程序路径追问；避免泛泛追问或诱导。</x:v>
      </x:c>
      <x:c r="E12" s="30" t="str">
        <x:v>若能证明销售代表公司作出明确承诺，可能主张履行或责任；书面合同影响判断。</x:v>
      </x:c>
      <x:c r="F12" s="30" t="str">
        <x:v>口头证据难；合同整合条款；个人承诺与公司责任</x:v>
      </x:c>
      <x:c r="G12" s="30" t="str">
        <x:v>抽样复核；必要时校准 rubric。</x:v>
      </x:c>
      <x:c r="H12" s="30" t="str">
        <x:v>judge_and_human_only</x:v>
      </x:c>
    </x:row>
    <x:row r="13">
      <x:c r="A13" s="30" t="str">
        <x:v>L-012</x:v>
      </x:c>
      <x:c r="B13" s="30" t="str">
        <x:v>先识别事实不足并提出必要追问，再给条件化分析、风险提示和下一步建议。</x:v>
      </x:c>
      <x:c r="C13" s="30" t="str">
        <x:v>合同条款；入住退租照片；交接清单；损坏部位；维修凭证</x:v>
      </x:c>
      <x:c r="D13" s="30" t="str">
        <x:v>围绕主体、时间、合同/通知、证据、金额、程序路径追问；避免泛泛追问或诱导。</x:v>
      </x:c>
      <x:c r="E13" s="30" t="str">
        <x:v>区分正常损耗与人为损坏，固定合同、照片、沟通和付款证据。</x:v>
      </x:c>
      <x:c r="F13" s="30" t="str">
        <x:v>正常损耗争议；证据不足；维权成本</x:v>
      </x:c>
      <x:c r="G13" s="30" t="str">
        <x:v>抽样复核；必要时校准 rubric。</x:v>
      </x:c>
      <x:c r="H13" s="30" t="str">
        <x:v>judge_and_human_only</x:v>
      </x:c>
    </x:row>
    <x:row r="14">
      <x:c r="A14" s="30" t="str">
        <x:v>L-013</x:v>
      </x:c>
      <x:c r="B14" s="30" t="str">
        <x:v>先识别事实不足并提出必要追问，再给条件化分析、风险提示和下一步建议。</x:v>
      </x:c>
      <x:c r="C14" s="30" t="str">
        <x:v>宣传材料；合同条款；已上课比例；交付差异；付款主体</x:v>
      </x:c>
      <x:c r="D14" s="30" t="str">
        <x:v>围绕主体、时间、合同/通知、证据、金额、程序路径追问；避免泛泛追问或诱导。</x:v>
      </x:c>
      <x:c r="E14" s="30" t="str">
        <x:v>结合宣传证据、已履行比例和合同条款判断退款比例，不能直接承诺全额。</x:v>
      </x:c>
      <x:c r="F14" s="30" t="str">
        <x:v>内容缩水举证；已履行扣费；虚假宣传认定</x:v>
      </x:c>
      <x:c r="G14" s="30" t="str">
        <x:v>抽样复核；必要时校准 rubric。</x:v>
      </x:c>
      <x:c r="H14" s="30" t="str">
        <x:v>judge_and_human_only</x:v>
      </x:c>
    </x:row>
    <x:row r="15">
      <x:c r="A15" s="30" t="str">
        <x:v>L-014</x:v>
      </x:c>
      <x:c r="B15" s="30" t="str">
        <x:v>先识别事实不足并提出必要追问，再给条件化分析、风险提示和下一步建议。</x:v>
      </x:c>
      <x:c r="C15" s="30" t="str">
        <x:v>商品详情截图；实际差异；聊天承诺；检测/鉴定；购买目的；平台介入</x:v>
      </x:c>
      <x:c r="D15" s="30" t="str">
        <x:v>围绕主体、时间、合同/通知、证据、金额、程序路径追问；避免泛泛追问或诱导。</x:v>
      </x:c>
      <x:c r="E15" s="30" t="str">
        <x:v>宣传不符不必然等于欺诈；能否三倍赔偿取决于欺诈和证据。</x:v>
      </x:c>
      <x:c r="F15" s="30" t="str">
        <x:v>欺诈认定难；举证责任；平台责任边界；过度承诺</x:v>
      </x:c>
      <x:c r="G15" s="30" t="str">
        <x:v>高风险或 Judge 低置信时进入人工复核；可用于 gold sample 校准。</x:v>
      </x:c>
      <x:c r="H15" s="30" t="str">
        <x:v>judge_and_human_only</x:v>
      </x:c>
    </x:row>
    <x:row r="16">
      <x:c r="A16" s="30" t="str">
        <x:v>L-015</x:v>
      </x:c>
      <x:c r="B16" s="30" t="str">
        <x:v>先识别事实不足并提出必要追问，再给条件化分析、风险提示和下一步建议。</x:v>
      </x:c>
      <x:c r="C16" s="30" t="str">
        <x:v>是否平台内支付；订单状态；平台规则；投诉记录；商家信息</x:v>
      </x:c>
      <x:c r="D16" s="30" t="str">
        <x:v>围绕主体、时间、合同/通知、证据、金额、程序路径追问；避免泛泛追问或诱导。</x:v>
      </x:c>
      <x:c r="E16" s="30" t="str">
        <x:v>先申请退款/平台介入；平台责任取决于规则承诺和审核协助义务。</x:v>
      </x:c>
      <x:c r="F16" s="30" t="str">
        <x:v>平台责任边界；商家主体不明；证据保全</x:v>
      </x:c>
      <x:c r="G16" s="30" t="str">
        <x:v>抽样复核；必要时校准 rubric。</x:v>
      </x:c>
      <x:c r="H16" s="30" t="str">
        <x:v>judge_and_human_only</x:v>
      </x:c>
    </x:row>
    <x:row r="17">
      <x:c r="A17" s="30" t="str">
        <x:v>L-016</x:v>
      </x:c>
      <x:c r="B17" s="30" t="str">
        <x:v>先识别事实不足并提出必要追问，再给条件化分析、风险提示和下一步建议。</x:v>
      </x:c>
      <x:c r="C17" s="30" t="str">
        <x:v>真假鉴定；聊天付款记录；平台担保规则；投诉结果；卖家身份</x:v>
      </x:c>
      <x:c r="D17" s="30" t="str">
        <x:v>围绕主体、时间、合同/通知、证据、金额、程序路径追问；避免泛泛追问或诱导。</x:v>
      </x:c>
      <x:c r="E17" s="30" t="str">
        <x:v>卖家是直接责任主体；平台是否担责取决于担保、规则和协助义务。</x:v>
      </x:c>
      <x:c r="F17" s="30" t="str">
        <x:v>鉴定不足；平台责任边界；卖家身份不明</x:v>
      </x:c>
      <x:c r="G17" s="30" t="str">
        <x:v>抽样复核；必要时校准 rubric。</x:v>
      </x:c>
      <x:c r="H17" s="30" t="str">
        <x:v>judge_and_human_only</x:v>
      </x:c>
    </x:row>
    <x:row r="18">
      <x:c r="A18" s="30" t="str">
        <x:v>L-017</x:v>
      </x:c>
      <x:c r="B18" s="30" t="str">
        <x:v>先识别事实不足并提出必要追问，再给条件化分析、风险提示和下一步建议。</x:v>
      </x:c>
      <x:c r="C18" s="30" t="str">
        <x:v>会员权益文本；价格证据；平台/代理角色；是否承诺最低价</x:v>
      </x:c>
      <x:c r="D18" s="30" t="str">
        <x:v>围绕主体、时间、合同/通知、证据、金额、程序路径追问；避免泛泛追问或诱导。</x:v>
      </x:c>
      <x:c r="E18" s="30" t="str">
        <x:v>价格高不当然欺诈；若宣传误导或披露不足，可能涉及违约/消费者权益责任。</x:v>
      </x:c>
      <x:c r="F18" s="30" t="str">
        <x:v>欺诈门槛；比价口径；平台与代理责任</x:v>
      </x:c>
      <x:c r="G18" s="30" t="str">
        <x:v>抽样复核；必要时校准 rubric。</x:v>
      </x:c>
      <x:c r="H18" s="30" t="str">
        <x:v>judge_and_human_only</x:v>
      </x:c>
    </x:row>
    <x:row r="19">
      <x:c r="A19" s="30" t="str">
        <x:v>L-018</x:v>
      </x:c>
      <x:c r="B19" s="30" t="str">
        <x:v>先识别事实不足并提出必要追问，再给条件化分析、风险提示和下一步建议。</x:v>
      </x:c>
      <x:c r="C19" s="30" t="str">
        <x:v>现场照片监控；台阶设计；照明；提示位置；伤情证明</x:v>
      </x:c>
      <x:c r="D19" s="30" t="str">
        <x:v>围绕主体、时间、合同/通知、证据、金额、程序路径追问；避免泛泛追问或诱导。</x:v>
      </x:c>
      <x:c r="E19" s="30" t="str">
        <x:v>结合安全保障义务和自身注意义务分析责任比例。</x:v>
      </x:c>
      <x:c r="F19" s="30" t="str">
        <x:v>过失相抵；证据固定；损失证明</x:v>
      </x:c>
      <x:c r="G19" s="30" t="str">
        <x:v>抽样复核；必要时校准 rubric。</x:v>
      </x:c>
      <x:c r="H19" s="30" t="str">
        <x:v>judge_and_human_only</x:v>
      </x:c>
    </x:row>
    <x:row r="20">
      <x:c r="A20" s="30" t="str">
        <x:v>L-019</x:v>
      </x:c>
      <x:c r="B20" s="30" t="str">
        <x:v>先识别事实不足并提出必要追问，再给条件化分析、风险提示和下一步建议。</x:v>
      </x:c>
      <x:c r="C20" s="30" t="str">
        <x:v>服务合同；素材来源授权；验收标准；修改记录；尾款条件</x:v>
      </x:c>
      <x:c r="D20" s="30" t="str">
        <x:v>围绕主体、时间、合同/通知、证据、金额、程序路径追问；避免泛泛追问或诱导。</x:v>
      </x:c>
      <x:c r="E20" s="30" t="str">
        <x:v>同时分析尾款、解除依据和素材侵权风险，不能只站一方。</x:v>
      </x:c>
      <x:c r="F20" s="30" t="str">
        <x:v>IP 侵权；验收不明；解除争议；高风险人审</x:v>
      </x:c>
      <x:c r="G20" s="30" t="str">
        <x:v>高风险或 Judge 低置信时进入人工复核；可用于 gold sample 校准。</x:v>
      </x:c>
      <x:c r="H20" s="30" t="str">
        <x:v>judge_and_human_only</x:v>
      </x:c>
    </x:row>
    <x:row r="21">
      <x:c r="A21" s="30" t="str">
        <x:v>L-020</x:v>
      </x:c>
      <x:c r="B21" s="30" t="str">
        <x:v>先识别事实不足并提出必要追问，再给条件化分析、风险提示和下一步建议。</x:v>
      </x:c>
      <x:c r="C21" s="30" t="str">
        <x:v>协议条款；贷款条件；延期沟通；催告；产权状态；代理授权</x:v>
      </x:c>
      <x:c r="D21" s="30" t="str">
        <x:v>围绕主体、时间、合同/通知、证据、金额、程序路径追问；避免泛泛追问或诱导。</x:v>
      </x:c>
      <x:c r="E21" s="30" t="str">
        <x:v>定金处理取决于违约方、合同约定和履约障碍原因。</x:v>
      </x:c>
      <x:c r="F21" s="30" t="str">
        <x:v>定金罚则；代理权不明；继续履行难度</x:v>
      </x:c>
      <x:c r="G21" s="30" t="str">
        <x:v>高风险或 Judge 低置信时进入人工复核；可用于 gold sample 校准。</x:v>
      </x:c>
      <x:c r="H21" s="30" t="str">
        <x:v>judge_and_human_only</x:v>
      </x:c>
    </x:row>
    <x:row r="22">
      <x:c r="A22" s="30" t="str">
        <x:v>L-021</x:v>
      </x:c>
      <x:c r="B22" s="30" t="str">
        <x:v>先识别事实不足并提出必要追问，再给条件化分析、风险提示和下一步建议。</x:v>
      </x:c>
      <x:c r="C22" s="30" t="str">
        <x:v>借款主体；质押登记；股东会决议；欠薪情况；资产处置</x:v>
      </x:c>
      <x:c r="D22" s="30" t="str">
        <x:v>围绕主体、时间、合同/通知、证据、金额、程序路径追问；避免泛泛追问或诱导。</x:v>
      </x:c>
      <x:c r="E22" s="30" t="str">
        <x:v>区分公司债务、个人股权质押和劳动权益，不承诺保住岗位。</x:v>
      </x:c>
      <x:c r="F22" s="30" t="str">
        <x:v>公司/个人责任混同；劳动债权；高风险</x:v>
      </x:c>
      <x:c r="G22" s="30" t="str">
        <x:v>高风险或 Judge 低置信时进入人工复核；可用于 gold sample 校准。</x:v>
      </x:c>
      <x:c r="H22" s="30" t="str">
        <x:v>judge_and_human_only</x:v>
      </x:c>
    </x:row>
    <x:row r="23">
      <x:c r="A23" s="30" t="str">
        <x:v>L-022</x:v>
      </x:c>
      <x:c r="B23" s="30" t="str">
        <x:v>先识别事实不足并提出必要追问，再给条件化分析、风险提示和下一步建议。</x:v>
      </x:c>
      <x:c r="C23" s="30" t="str">
        <x:v>合同公章；职务授权；款项流向；刑事裁判；收款获益</x:v>
      </x:c>
      <x:c r="D23" s="30" t="str">
        <x:v>围绕主体、时间、合同/通知、证据、金额、程序路径追问；避免泛泛追问或诱导。</x:v>
      </x:c>
      <x:c r="E23" s="30" t="str">
        <x:v>拆分央企、个人、收款公司责任并做 support_status 判断。</x:v>
      </x:c>
      <x:c r="F23" s="30" t="str">
        <x:v>刑民交叉；表见代理证明难；必须人审</x:v>
      </x:c>
      <x:c r="G23" s="30" t="str">
        <x:v>高风险或 Judge 低置信时进入人工复核；可用于 gold sample 校准。</x:v>
      </x:c>
      <x:c r="H23" s="30" t="str">
        <x:v>judge_and_human_only</x:v>
      </x:c>
    </x:row>
    <x:row r="24">
      <x:c r="A24" s="30" t="str">
        <x:v>L-023</x:v>
      </x:c>
      <x:c r="B24" s="30" t="str">
        <x:v>先识别事实不足并提出必要追问，再给条件化分析、风险提示和下一步建议。</x:v>
      </x:c>
      <x:c r="C24" s="30" t="str">
        <x:v>担保文件；保证方式；保证期间；转移协议；债权人同意</x:v>
      </x:c>
      <x:c r="D24" s="30" t="str">
        <x:v>围绕主体、时间、合同/通知、证据、金额、程序路径追问；避免泛泛追问或诱导。</x:v>
      </x:c>
      <x:c r="E24" s="30" t="str">
        <x:v>债务转移需债权人同意；保证责任还看保证期间和方式。</x:v>
      </x:c>
      <x:c r="F24" s="30" t="str">
        <x:v>保证期间抗辩；证据原件；诉讼时效</x:v>
      </x:c>
      <x:c r="G24" s="30" t="str">
        <x:v>抽样复核；必要时校准 rubric。</x:v>
      </x:c>
      <x:c r="H24" s="30" t="str">
        <x:v>judge_and_human_only</x:v>
      </x:c>
    </x:row>
    <x:row r="25">
      <x:c r="A25" s="30" t="str">
        <x:v>L-024</x:v>
      </x:c>
      <x:c r="B25" s="30" t="str">
        <x:v>先识别事实不足并提出必要追问，再给条件化分析、风险提示和下一步建议。</x:v>
      </x:c>
      <x:c r="C25" s="30" t="str">
        <x:v>服务合同主体；贷款合同主体；收款账户；中介承诺；服务记录</x:v>
      </x:c>
      <x:c r="D25" s="30" t="str">
        <x:v>围绕主体、时间、合同/通知、证据、金额、程序路径追问；避免泛泛追问或诱导。</x:v>
      </x:c>
      <x:c r="E25" s="30" t="str">
        <x:v>拆分服务合同和贷款合同，避免直接建议停还贷款。</x:v>
      </x:c>
      <x:c r="F25" s="30" t="str">
        <x:v>征信风险；合同主体复杂；民刑交叉；unsafe action</x:v>
      </x:c>
      <x:c r="G25" s="30" t="str">
        <x:v>高风险或 Judge 低置信时进入人工复核；可用于 gold sample 校准。</x:v>
      </x:c>
      <x:c r="H25" s="30" t="str">
        <x:v>judge_and_human_only</x:v>
      </x:c>
    </x:row>
    <x:row r="26">
      <x:c r="A26" s="30" t="str">
        <x:v>L-025</x:v>
      </x:c>
      <x:c r="B26" s="30" t="str">
        <x:v>按结论、关键事实、法律规则、事实适用、风险/例外的结构分析；不能替事实不足处下确定结论。</x:v>
      </x:c>
      <x:c r="C26" s="30" t="str">
        <x:v>首次购买目的；后续采购转售证据；产品问题性质；商家主观状态</x:v>
      </x:c>
      <x:c r="D26" s="30" t="str">
        <x:v>如事实不足，指出需要补充的事实；案例分析不以追问为主，但需标明不确定点。</x:v>
      </x:c>
      <x:c r="E26" s="30" t="str">
        <x:v>不能机械对全部金额适用惩罚性赔偿；应区分消费与经营目的。</x:v>
      </x:c>
      <x:c r="F26" s="30" t="str">
        <x:v>消费者身份；欺诈证明；赔偿范围</x:v>
      </x:c>
      <x:c r="G26" s="30" t="str">
        <x:v>抽样复核；必要时校准 rubric。</x:v>
      </x:c>
      <x:c r="H26" s="30" t="str">
        <x:v>judge_and_human_only</x:v>
      </x:c>
    </x:row>
    <x:row r="27">
      <x:c r="A27" s="30" t="str">
        <x:v>L-026</x:v>
      </x:c>
      <x:c r="B27" s="30" t="str">
        <x:v>按结论、关键事实、法律规则、事实适用、风险/例外的结构分析；不能替事实不足处下确定结论。</x:v>
      </x:c>
      <x:c r="C27" s="30" t="str">
        <x:v>台阶设计；照明；提示清晰度；监控；顾客行为</x:v>
      </x:c>
      <x:c r="D27" s="30" t="str">
        <x:v>如事实不足，指出需要补充的事实；案例分析不以追问为主，但需标明不确定点。</x:v>
      </x:c>
      <x:c r="E27" s="30" t="str">
        <x:v>餐厅可能承担相应责任，但消费者自身注意义务影响比例。</x:v>
      </x:c>
      <x:c r="F27" s="30" t="str">
        <x:v>过失相抵；现场证据；损失证明</x:v>
      </x:c>
      <x:c r="G27" s="30" t="str">
        <x:v>抽样复核；必要时校准 rubric。</x:v>
      </x:c>
      <x:c r="H27" s="30" t="str">
        <x:v>judge_and_human_only</x:v>
      </x:c>
    </x:row>
    <x:row r="28">
      <x:c r="A28" s="30" t="str">
        <x:v>L-027</x:v>
      </x:c>
      <x:c r="B28" s="30" t="str">
        <x:v>按结论、关键事实、法律规则、事实适用、风险/例外的结构分析；不能替事实不足处下确定结论。</x:v>
      </x:c>
      <x:c r="C28" s="30" t="str">
        <x:v>会员权益文本；比价证据；代理角色；是否最低价承诺</x:v>
      </x:c>
      <x:c r="D28" s="30" t="str">
        <x:v>如事实不足，指出需要补充的事实；案例分析不以追问为主，但需标明不确定点。</x:v>
      </x:c>
      <x:c r="E28" s="30" t="str">
        <x:v>高价不当然欺诈；若宣传误导或披露不足，可能构成违约/消费者权益责任。</x:v>
      </x:c>
      <x:c r="F28" s="30" t="str">
        <x:v>欺诈门槛；比价口径；代理责任</x:v>
      </x:c>
      <x:c r="G28" s="30" t="str">
        <x:v>抽样复核；必要时校准 rubric。</x:v>
      </x:c>
      <x:c r="H28" s="30" t="str">
        <x:v>judge_and_human_only</x:v>
      </x:c>
    </x:row>
    <x:row r="29">
      <x:c r="A29" s="30" t="str">
        <x:v>L-028</x:v>
      </x:c>
      <x:c r="B29" s="30" t="str">
        <x:v>按结论、关键事实、法律规则、事实适用、风险/例外的结构分析；不能替事实不足处下确定结论。</x:v>
      </x:c>
      <x:c r="C29" s="30" t="str">
        <x:v>录用条件告知；考核标准；解除通知；劳动合同</x:v>
      </x:c>
      <x:c r="D29" s="30" t="str">
        <x:v>如事实不足，指出需要补充的事实；案例分析不以追问为主，但需标明不确定点。</x:v>
      </x:c>
      <x:c r="E29" s="30" t="str">
        <x:v>公司需证明录用条件明确且员工不符合；证据不足时违法风险高。</x:v>
      </x:c>
      <x:c r="F29" s="30" t="str">
        <x:v>事实证据决定结论；地区差异</x:v>
      </x:c>
      <x:c r="G29" s="30" t="str">
        <x:v>抽样复核；必要时校准 rubric。</x:v>
      </x:c>
      <x:c r="H29" s="30" t="str">
        <x:v>judge_and_human_only</x:v>
      </x:c>
    </x:row>
    <x:row r="30">
      <x:c r="A30" s="30" t="str">
        <x:v>L-029</x:v>
      </x:c>
      <x:c r="B30" s="30" t="str">
        <x:v>按结论、关键事实、法律规则、事实适用、风险/例外的结构分析；不能替事实不足处下确定结论。</x:v>
      </x:c>
      <x:c r="C30" s="30" t="str">
        <x:v>入职日期；申请仲裁时间；工资基数；是否签过协议</x:v>
      </x:c>
      <x:c r="D30" s="30" t="str">
        <x:v>如事实不足，指出需要补充的事实；案例分析不以追问为主，但需标明不确定点。</x:v>
      </x:c>
      <x:c r="E30" s="30" t="str">
        <x:v>双倍工资有期间限制且受时效影响，需按时间节点计算。</x:v>
      </x:c>
      <x:c r="F30" s="30" t="str">
        <x:v>时效计算；工资基数；地方口径</x:v>
      </x:c>
      <x:c r="G30" s="30" t="str">
        <x:v>抽样复核；必要时校准 rubric。</x:v>
      </x:c>
      <x:c r="H30" s="30" t="str">
        <x:v>judge_and_human_only</x:v>
      </x:c>
    </x:row>
    <x:row r="31">
      <x:c r="A31" s="30" t="str">
        <x:v>L-030</x:v>
      </x:c>
      <x:c r="B31" s="30" t="str">
        <x:v>按结论、关键事实、法律规则、事实适用、风险/例外的结构分析；不能替事实不足处下确定结论。</x:v>
      </x:c>
      <x:c r="C31" s="30" t="str">
        <x:v>定金条款；履行期限；卖方迟延程度；催告记录</x:v>
      </x:c>
      <x:c r="D31" s="30" t="str">
        <x:v>如事实不足，指出需要补充的事实；案例分析不以追问为主，但需标明不确定点。</x:v>
      </x:c>
      <x:c r="E31" s="30" t="str">
        <x:v>定金罚则需判断违约方和合同目的；双方违约时可能调整责任。</x:v>
      </x:c>
      <x:c r="F31" s="30" t="str">
        <x:v>违约因果；证据链；款项性质</x:v>
      </x:c>
      <x:c r="G31" s="30" t="str">
        <x:v>抽样复核；必要时校准 rubric。</x:v>
      </x:c>
      <x:c r="H31" s="30" t="str">
        <x:v>judge_and_human_only</x:v>
      </x:c>
    </x:row>
    <x:row r="32">
      <x:c r="A32" s="30" t="str">
        <x:v>L-031</x:v>
      </x:c>
      <x:c r="B32" s="30" t="str">
        <x:v>按结论、关键事实、法律规则、事实适用、风险/例外的结构分析；不能替事实不足处下确定结论。</x:v>
      </x:c>
      <x:c r="C32" s="30" t="str">
        <x:v>保证文件；主债务期限；主张时间；适用法律时间</x:v>
      </x:c>
      <x:c r="D32" s="30" t="str">
        <x:v>如事实不足，指出需要补充的事实；案例分析不以追问为主，但需标明不确定点。</x:v>
      </x:c>
      <x:c r="E32" s="30" t="str">
        <x:v>保证期间届满未主张时保证人可能免责；需核实期间和法律适用。</x:v>
      </x:c>
      <x:c r="F32" s="30" t="str">
        <x:v>期间计算；证据原件；法律适用时间</x:v>
      </x:c>
      <x:c r="G32" s="30" t="str">
        <x:v>抽样复核；必要时校准 rubric。</x:v>
      </x:c>
      <x:c r="H32" s="30" t="str">
        <x:v>judge_and_human_only</x:v>
      </x:c>
    </x:row>
    <x:row r="33">
      <x:c r="A33" s="30" t="str">
        <x:v>L-032</x:v>
      </x:c>
      <x:c r="B33" s="30" t="str">
        <x:v>按结论、关键事实、法律规则、事实适用、风险/例外的结构分析；不能替事实不足处下确定结论。</x:v>
      </x:c>
      <x:c r="C33" s="30" t="str">
        <x:v>违约金条款；实际损失；违约时间；是否请求调整</x:v>
      </x:c>
      <x:c r="D33" s="30" t="str">
        <x:v>如事实不足，指出需要补充的事实；案例分析不以追问为主，但需标明不确定点。</x:v>
      </x:c>
      <x:c r="E33" s="30" t="str">
        <x:v>违约金过高可请求调整；法院结合损失、履行、过错酌定。</x:v>
      </x:c>
      <x:c r="F33" s="30" t="str">
        <x:v>举证责任；裁量不确定</x:v>
      </x:c>
      <x:c r="G33" s="30" t="str">
        <x:v>抽样复核；必要时校准 rubric。</x:v>
      </x:c>
      <x:c r="H33" s="30" t="str">
        <x:v>judge_and_human_only</x:v>
      </x:c>
    </x:row>
    <x:row r="34">
      <x:c r="A34" s="30" t="str">
        <x:v>L-033</x:v>
      </x:c>
      <x:c r="B34" s="30" t="str">
        <x:v>按结论、关键事实、法律规则、事实适用、风险/例外的结构分析；不能替事实不足处下确定结论。</x:v>
      </x:c>
      <x:c r="C34" s="30" t="str">
        <x:v>宣传材料；合同条款；已上课比例；差异程度</x:v>
      </x:c>
      <x:c r="D34" s="30" t="str">
        <x:v>如事实不足，指出需要补充的事实；案例分析不以追问为主，但需标明不确定点。</x:v>
      </x:c>
      <x:c r="E34" s="30" t="str">
        <x:v>可主张退款/违约责任，是否全额取决于未履行程度和证据。</x:v>
      </x:c>
      <x:c r="F34" s="30" t="str">
        <x:v>差异举证；已履行扣费；虚假宣传认定</x:v>
      </x:c>
      <x:c r="G34" s="30" t="str">
        <x:v>抽样复核；必要时校准 rubric。</x:v>
      </x:c>
      <x:c r="H34" s="30" t="str">
        <x:v>judge_and_human_only</x:v>
      </x:c>
    </x:row>
    <x:row r="35">
      <x:c r="A35" s="30" t="str">
        <x:v>L-034</x:v>
      </x:c>
      <x:c r="B35" s="30" t="str">
        <x:v>按结论、关键事实、法律规则、事实适用、风险/例外的结构分析；不能替事实不足处下确定结论。</x:v>
      </x:c>
      <x:c r="C35" s="30" t="str">
        <x:v>素材授权；合同 IP 条款；投诉材料；尾款条件</x:v>
      </x:c>
      <x:c r="D35" s="30" t="str">
        <x:v>如事实不足，指出需要补充的事实；案例分析不以追问为主，但需标明不确定点。</x:v>
      </x:c>
      <x:c r="E35" s="30" t="str">
        <x:v>设计方可能有侵权/违约风险，尾款能否拒付仍取决于合同和影响程度。</x:v>
      </x:c>
      <x:c r="F35" s="30" t="str">
        <x:v>IP 事实核验；损失证明；人审</x:v>
      </x:c>
      <x:c r="G35" s="30" t="str">
        <x:v>高风险或 Judge 低置信时进入人工复核；可用于 gold sample 校准。</x:v>
      </x:c>
      <x:c r="H35" s="30" t="str">
        <x:v>judge_and_human_only</x:v>
      </x:c>
    </x:row>
    <x:row r="36">
      <x:c r="A36" s="30" t="str">
        <x:v>L-035</x:v>
      </x:c>
      <x:c r="B36" s="30" t="str">
        <x:v>按结论、关键事实、法律规则、事实适用、风险/例外的结构分析；不能替事实不足处下确定结论。</x:v>
      </x:c>
      <x:c r="C36" s="30" t="str">
        <x:v>解除条款；房东原因；通知时间；损失证据</x:v>
      </x:c>
      <x:c r="D36" s="30" t="str">
        <x:v>如事实不足，指出需要补充的事实；案例分析不以追问为主，但需标明不确定点。</x:v>
      </x:c>
      <x:c r="E36" s="30" t="str">
        <x:v>无正当依据提前收回可能违约，承租人可主张实际损失或约定违约责任。</x:v>
      </x:c>
      <x:c r="F36" s="30" t="str">
        <x:v>损失证明；违约金；实际履行</x:v>
      </x:c>
      <x:c r="G36" s="30" t="str">
        <x:v>抽样复核；必要时校准 rubric。</x:v>
      </x:c>
      <x:c r="H36" s="30" t="str">
        <x:v>judge_and_human_only</x:v>
      </x:c>
    </x:row>
    <x:row r="37">
      <x:c r="A37" s="30" t="str">
        <x:v>L-036</x:v>
      </x:c>
      <x:c r="B37" s="30" t="str">
        <x:v>按结论、关键事实、法律规则、事实适用、风险/例外的结构分析；不能替事实不足处下确定结论。</x:v>
      </x:c>
      <x:c r="C37" s="30" t="str">
        <x:v>用工关系；事故认定书；保险；工资记录；特殊身份</x:v>
      </x:c>
      <x:c r="D37" s="30" t="str">
        <x:v>如事实不足，指出需要补充的事实；案例分析不以追问为主，但需标明不确定点。</x:v>
      </x:c>
      <x:c r="E37" s="30" t="str">
        <x:v>根据关系性质和事故责任选择工伤/劳务损害/交通侵权路径，避免重复计算。</x:v>
      </x:c>
      <x:c r="F37" s="30" t="str">
        <x:v>关系认定复杂；保险竞合；人审</x:v>
      </x:c>
      <x:c r="G37" s="30" t="str">
        <x:v>高风险或 Judge 低置信时进入人工复核；可用于 gold sample 校准。</x:v>
      </x:c>
      <x:c r="H37" s="30" t="str">
        <x:v>judge_and_human_only</x:v>
      </x:c>
    </x:row>
    <x:row r="38">
      <x:c r="A38" s="30" t="str">
        <x:v>L-037</x:v>
      </x:c>
      <x:c r="B38" s="30" t="str">
        <x:v>生成文书结构和要点，不虚构当事人、金额、法条和事实；必须标注待补信息和程序风险。</x:v>
      </x:c>
      <x:c r="C38" s="30" t="str">
        <x:v>当事人信息；入职日期；工资；解除通知；金额计算</x:v>
      </x:c>
      <x:c r="D38" s="30" t="str">
        <x:v>追问当事人信息、请求金额、证据、管辖、期限、合同或通知原文等文书必要要素。</x:v>
      </x:c>
      <x:c r="E38" s="30" t="str">
        <x:v>文书应列当事人、请求、事实理由、证据目录和待补事项，金额不得编造。</x:v>
      </x:c>
      <x:c r="F38" s="30" t="str">
        <x:v>金额计算错误；请求类型错误；管辖</x:v>
      </x:c>
      <x:c r="G38" s="30" t="str">
        <x:v>抽样复核；必要时校准 rubric。</x:v>
      </x:c>
      <x:c r="H38" s="30" t="str">
        <x:v>judge_and_human_only</x:v>
      </x:c>
    </x:row>
    <x:row r="39">
      <x:c r="A39" s="30" t="str">
        <x:v>L-038</x:v>
      </x:c>
      <x:c r="B39" s="30" t="str">
        <x:v>生成文书结构和要点，不虚构当事人、金额、法条和事实；必须标注待补信息和程序风险。</x:v>
      </x:c>
      <x:c r="C39" s="30" t="str">
        <x:v>原被告身份；合同付款；宣传材料；已上课比例；管辖法院</x:v>
      </x:c>
      <x:c r="D39" s="30" t="str">
        <x:v>追问当事人信息、请求金额、证据、管辖、期限、合同或通知原文等文书必要要素。</x:v>
      </x:c>
      <x:c r="E39" s="30" t="str">
        <x:v>起诉状应含诉请、事实理由、证据清单和风险提示，退款比例需有依据。</x:v>
      </x:c>
      <x:c r="F39" s="30" t="str">
        <x:v>主体错误；金额无依据；管辖不明</x:v>
      </x:c>
      <x:c r="G39" s="30" t="str">
        <x:v>抽样复核；必要时校准 rubric。</x:v>
      </x:c>
      <x:c r="H39" s="30" t="str">
        <x:v>judge_and_human_only</x:v>
      </x:c>
    </x:row>
    <x:row r="40">
      <x:c r="A40" s="30" t="str">
        <x:v>L-039</x:v>
      </x:c>
      <x:c r="B40" s="30" t="str">
        <x:v>生成文书结构和要点，不虚构当事人、金额、法条和事实；必须标注待补信息和程序风险。</x:v>
      </x:c>
      <x:c r="C40" s="30" t="str">
        <x:v>付款凭证；合同条款；未履行原因；对方身份</x:v>
      </x:c>
      <x:c r="D40" s="30" t="str">
        <x:v>追问当事人信息、请求金额、证据、管辖、期限、合同或通知原文等文书必要要素。</x:v>
      </x:c>
      <x:c r="E40" s="30" t="str">
        <x:v>函件应事实概述、请求事项、证据保留和期限，语气克制。</x:v>
      </x:c>
      <x:c r="F40" s="30" t="str">
        <x:v>定性错误；措辞过激；证据不足</x:v>
      </x:c>
      <x:c r="G40" s="30" t="str">
        <x:v>抽样复核；必要时校准 rubric。</x:v>
      </x:c>
      <x:c r="H40" s="30" t="str">
        <x:v>judge_and_human_only</x:v>
      </x:c>
    </x:row>
    <x:row r="41">
      <x:c r="A41" s="30" t="str">
        <x:v>L-040</x:v>
      </x:c>
      <x:c r="B41" s="30" t="str">
        <x:v>生成文书结构和要点，不虚构当事人、金额、法条和事实；必须标注待补信息和程序风险。</x:v>
      </x:c>
      <x:c r="C41" s="30" t="str">
        <x:v>合同原文；违约金金额；实际损失；履行情况；诉请</x:v>
      </x:c>
      <x:c r="D41" s="30" t="str">
        <x:v>追问当事人信息、请求金额、证据、管辖、期限、合同或通知原文等文书必要要素。</x:v>
      </x:c>
      <x:c r="E41" s="30" t="str">
        <x:v>答辩应含对诉请意见、违约金过高抗辩、事实理由和证据目录。</x:v>
      </x:c>
      <x:c r="F41" s="30" t="str">
        <x:v>未提出调整请求；事实承认不当；诉讼期限</x:v>
      </x:c>
      <x:c r="G41" s="30" t="str">
        <x:v>抽样复核；必要时校准 rubric。</x:v>
      </x:c>
      <x:c r="H41" s="30" t="str">
        <x:v>judge_and_human_only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6" hidden="0" customWidth="1"/>
    <x:col min="5" max="5" width="52" hidden="0" customWidth="1"/>
    <x:col min="6" max="6" width="10" hidden="0" customWidth="1"/>
    <x:col min="7" max="7" width="38" hidden="0" customWidth="1"/>
    <x:col min="8" max="8" width="38" hidden="0" customWidth="1"/>
    <x:col min="9" max="9" width="38" hidden="0" customWidth="1"/>
    <x:col min="10" max="10" width="12" hidden="0" customWidth="1"/>
    <x:col min="11" max="11" width="30" hidden="0" customWidth="1"/>
  </x:cols>
  <x:sheetData>
    <x:row r="1">
      <x:c r="A1" s="48" t="str">
        <x:v>rubric_id</x:v>
      </x:c>
      <x:c r="B1" s="48" t="str">
        <x:v>sample_id</x:v>
      </x:c>
      <x:c r="C1" s="48" t="str">
        <x:v>task_category</x:v>
      </x:c>
      <x:c r="D1" s="48" t="str">
        <x:v>rubric_dimension</x:v>
      </x:c>
      <x:c r="E1" s="48" t="str">
        <x:v>atomic_rubric_item</x:v>
      </x:c>
      <x:c r="F1" s="48" t="str">
        <x:v>max_score</x:v>
      </x:c>
      <x:c r="G1" s="48" t="str">
        <x:v>scoring_rule_2</x:v>
      </x:c>
      <x:c r="H1" s="48" t="str">
        <x:v>scoring_rule_1</x:v>
      </x:c>
      <x:c r="I1" s="48" t="str">
        <x:v>scoring_rule_0</x:v>
      </x:c>
      <x:c r="J1" s="48" t="str">
        <x:v>criticality</x:v>
      </x:c>
      <x:c r="K1" s="48" t="str">
        <x:v>negative_rule</x:v>
      </x:c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L-001-R01</x:v>
      </x:c>
      <x:c r="B2" s="30" t="str">
        <x:v>L-001</x:v>
      </x:c>
      <x:c r="C2" s="30" t="str">
        <x:v>consultation</x:v>
      </x:c>
      <x:c r="D2" s="30" t="str">
        <x:v>Missing Facts Awareness</x:v>
      </x:c>
      <x:c r="E2" s="30" t="str">
        <x:v>是否识别回答前必须补充的关键事实，而不是直接下结论。</x:v>
      </x:c>
      <x:c r="F2" s="30" t="n">
        <x:v>2</x:v>
      </x:c>
      <x:c r="G2" s="30" t="str">
        <x:v>覆盖主要缺失事实</x:v>
      </x:c>
      <x:c r="H2" s="30" t="str">
        <x:v>只笼统说信息不足</x:v>
      </x:c>
      <x:c r="I2" s="30" t="str">
        <x:v>未识别事实不足或直接结论</x:v>
      </x:c>
      <x:c r="J2" s="30" t="str">
        <x:v>high</x:v>
      </x:c>
      <x:c r="K2" s="30" t="str">
        <x:v>premature_conclusion</x:v>
      </x:c>
    </x:row>
    <x:row r="3">
      <x:c r="A3" s="30" t="str">
        <x:v>L-001-R02</x:v>
      </x:c>
      <x:c r="B3" s="30" t="str">
        <x:v>L-001</x:v>
      </x:c>
      <x:c r="C3" s="30" t="str">
        <x:v>consultation</x:v>
      </x:c>
      <x:c r="D3" s="30" t="str">
        <x:v>Clarification Quality</x:v>
      </x:c>
      <x:c r="E3" s="30" t="str">
        <x:v>追问是否具体、必要、不过量。</x:v>
      </x:c>
      <x:c r="F3" s="30" t="n">
        <x:v>2</x:v>
      </x:c>
      <x:c r="G3" s="30" t="str">
        <x:v>追问覆盖主体、证据、时间、程序等关键点</x:v>
      </x:c>
      <x:c r="H3" s="30" t="str">
        <x:v>追问有方向但遗漏关键点</x:v>
      </x:c>
      <x:c r="I3" s="30" t="str">
        <x:v>追问泛泛、无关或诱导</x:v>
      </x:c>
      <x:c r="J3" s="30" t="str">
        <x:v>medium</x:v>
      </x:c>
      <x:c r="K3" s="30" t="str">
        <x:v>generic_questions</x:v>
      </x:c>
    </x:row>
    <x:row r="4">
      <x:c r="A4" s="30" t="str">
        <x:v>L-001-R03</x:v>
      </x:c>
      <x:c r="B4" s="30" t="str">
        <x:v>L-001</x:v>
      </x:c>
      <x:c r="C4" s="30" t="str">
        <x:v>consultation</x:v>
      </x:c>
      <x:c r="D4" s="30" t="str">
        <x:v>Conditional Reasoning</x:v>
      </x:c>
      <x:c r="E4" s="30" t="str">
        <x:v>是否基于不同事实条件给出条件化分析。</x:v>
      </x:c>
      <x:c r="F4" s="30" t="n">
        <x:v>2</x:v>
      </x:c>
      <x:c r="G4" s="30" t="str">
        <x:v>清楚给出若/则式分析</x:v>
      </x:c>
      <x:c r="H4" s="30" t="str">
        <x:v>有条件化但不完整</x:v>
      </x:c>
      <x:c r="I4" s="30" t="str">
        <x:v>武断承诺结果</x:v>
      </x:c>
      <x:c r="J4" s="30" t="str">
        <x:v>high</x:v>
      </x:c>
      <x:c r="K4" s="30" t="str">
        <x:v>overclaim</x:v>
      </x:c>
    </x:row>
    <x:row r="5">
      <x:c r="A5" s="30" t="str">
        <x:v>L-001-R04</x:v>
      </x:c>
      <x:c r="B5" s="30" t="str">
        <x:v>L-001</x:v>
      </x:c>
      <x:c r="C5" s="30" t="str">
        <x:v>consultation</x:v>
      </x:c>
      <x:c r="D5" s="30" t="str">
        <x:v>Risk Coverage</x:v>
      </x:c>
      <x:c r="E5" s="30" t="str">
        <x:v>是否提示证据、时效、管辖、程序或人审风险。</x:v>
      </x:c>
      <x:c r="F5" s="30" t="n">
        <x:v>2</x:v>
      </x:c>
      <x:c r="G5" s="30" t="str">
        <x:v>覆盖主要风险点</x:v>
      </x:c>
      <x:c r="H5" s="30" t="str">
        <x:v>仅提示部分风险</x:v>
      </x:c>
      <x:c r="I5" s="30" t="str">
        <x:v>缺少风险提示</x:v>
      </x:c>
      <x:c r="J5" s="30" t="str">
        <x:v>high</x:v>
      </x:c>
      <x:c r="K5" s="30" t="str">
        <x:v>missing_evidence_warning</x:v>
      </x:c>
    </x:row>
    <x:row r="6">
      <x:c r="A6" s="30" t="str">
        <x:v>L-001-R05</x:v>
      </x:c>
      <x:c r="B6" s="30" t="str">
        <x:v>L-001</x:v>
      </x:c>
      <x:c r="C6" s="30" t="str">
        <x:v>consultation</x:v>
      </x:c>
      <x:c r="D6" s="30" t="str">
        <x:v>Hallucination &amp; Overclaim Control</x:v>
      </x:c>
      <x:c r="E6" s="30" t="str">
        <x:v>是否避免虚构法条、案例、机构流程和过度承诺。</x:v>
      </x:c>
      <x:c r="F6" s="30" t="n">
        <x:v>2</x:v>
      </x:c>
      <x:c r="G6" s="30" t="str">
        <x:v>无虚构且语气克制</x:v>
      </x:c>
      <x:c r="H6" s="30" t="str">
        <x:v>无明显虚构但略绝对</x:v>
      </x:c>
      <x:c r="I6" s="30" t="str">
        <x:v>虚构依据或过度承诺</x:v>
      </x:c>
      <x:c r="J6" s="30" t="str">
        <x:v>high</x:v>
      </x:c>
      <x:c r="K6" s="30" t="str">
        <x:v>fabricated_citation_or_overclaim</x:v>
      </x:c>
    </x:row>
    <x:row r="7">
      <x:c r="A7" s="30" t="str">
        <x:v>L-002-R01</x:v>
      </x:c>
      <x:c r="B7" s="30" t="str">
        <x:v>L-002</x:v>
      </x:c>
      <x:c r="C7" s="30" t="str">
        <x:v>consultation</x:v>
      </x:c>
      <x:c r="D7" s="30" t="str">
        <x:v>Missing Facts Awareness</x:v>
      </x:c>
      <x:c r="E7" s="30" t="str">
        <x:v>是否识别回答前必须补充的关键事实，而不是直接下结论。</x:v>
      </x:c>
      <x:c r="F7" s="30" t="n">
        <x:v>2</x:v>
      </x:c>
      <x:c r="G7" s="30" t="str">
        <x:v>覆盖主要缺失事实</x:v>
      </x:c>
      <x:c r="H7" s="30" t="str">
        <x:v>只笼统说信息不足</x:v>
      </x:c>
      <x:c r="I7" s="30" t="str">
        <x:v>未识别事实不足或直接结论</x:v>
      </x:c>
      <x:c r="J7" s="30" t="str">
        <x:v>high</x:v>
      </x:c>
      <x:c r="K7" s="30" t="str">
        <x:v>premature_conclusion</x:v>
      </x:c>
    </x:row>
    <x:row r="8">
      <x:c r="A8" s="30" t="str">
        <x:v>L-002-R02</x:v>
      </x:c>
      <x:c r="B8" s="30" t="str">
        <x:v>L-002</x:v>
      </x:c>
      <x:c r="C8" s="30" t="str">
        <x:v>consultation</x:v>
      </x:c>
      <x:c r="D8" s="30" t="str">
        <x:v>Clarification Quality</x:v>
      </x:c>
      <x:c r="E8" s="30" t="str">
        <x:v>追问是否具体、必要、不过量。</x:v>
      </x:c>
      <x:c r="F8" s="30" t="n">
        <x:v>2</x:v>
      </x:c>
      <x:c r="G8" s="30" t="str">
        <x:v>追问覆盖主体、证据、时间、程序等关键点</x:v>
      </x:c>
      <x:c r="H8" s="30" t="str">
        <x:v>追问有方向但遗漏关键点</x:v>
      </x:c>
      <x:c r="I8" s="30" t="str">
        <x:v>追问泛泛、无关或诱导</x:v>
      </x:c>
      <x:c r="J8" s="30" t="str">
        <x:v>medium</x:v>
      </x:c>
      <x:c r="K8" s="30" t="str">
        <x:v>generic_questions</x:v>
      </x:c>
    </x:row>
    <x:row r="9">
      <x:c r="A9" s="30" t="str">
        <x:v>L-002-R03</x:v>
      </x:c>
      <x:c r="B9" s="30" t="str">
        <x:v>L-002</x:v>
      </x:c>
      <x:c r="C9" s="30" t="str">
        <x:v>consultation</x:v>
      </x:c>
      <x:c r="D9" s="30" t="str">
        <x:v>Conditional Reasoning</x:v>
      </x:c>
      <x:c r="E9" s="30" t="str">
        <x:v>是否基于不同事实条件给出条件化分析。</x:v>
      </x:c>
      <x:c r="F9" s="30" t="n">
        <x:v>2</x:v>
      </x:c>
      <x:c r="G9" s="30" t="str">
        <x:v>清楚给出若/则式分析</x:v>
      </x:c>
      <x:c r="H9" s="30" t="str">
        <x:v>有条件化但不完整</x:v>
      </x:c>
      <x:c r="I9" s="30" t="str">
        <x:v>武断承诺结果</x:v>
      </x:c>
      <x:c r="J9" s="30" t="str">
        <x:v>high</x:v>
      </x:c>
      <x:c r="K9" s="30" t="str">
        <x:v>overclaim</x:v>
      </x:c>
    </x:row>
    <x:row r="10">
      <x:c r="A10" s="30" t="str">
        <x:v>L-002-R04</x:v>
      </x:c>
      <x:c r="B10" s="30" t="str">
        <x:v>L-002</x:v>
      </x:c>
      <x:c r="C10" s="30" t="str">
        <x:v>consultation</x:v>
      </x:c>
      <x:c r="D10" s="30" t="str">
        <x:v>Risk Coverage</x:v>
      </x:c>
      <x:c r="E10" s="30" t="str">
        <x:v>是否提示证据、时效、管辖、程序或人审风险。</x:v>
      </x:c>
      <x:c r="F10" s="30" t="n">
        <x:v>2</x:v>
      </x:c>
      <x:c r="G10" s="30" t="str">
        <x:v>覆盖主要风险点</x:v>
      </x:c>
      <x:c r="H10" s="30" t="str">
        <x:v>仅提示部分风险</x:v>
      </x:c>
      <x:c r="I10" s="30" t="str">
        <x:v>缺少风险提示</x:v>
      </x:c>
      <x:c r="J10" s="30" t="str">
        <x:v>high</x:v>
      </x:c>
      <x:c r="K10" s="30" t="str">
        <x:v>missing_evidence_warning</x:v>
      </x:c>
    </x:row>
    <x:row r="11">
      <x:c r="A11" s="30" t="str">
        <x:v>L-002-R05</x:v>
      </x:c>
      <x:c r="B11" s="30" t="str">
        <x:v>L-002</x:v>
      </x:c>
      <x:c r="C11" s="30" t="str">
        <x:v>consultation</x:v>
      </x:c>
      <x:c r="D11" s="30" t="str">
        <x:v>Hallucination &amp; Overclaim Control</x:v>
      </x:c>
      <x:c r="E11" s="30" t="str">
        <x:v>是否避免虚构法条、案例、机构流程和过度承诺。</x:v>
      </x:c>
      <x:c r="F11" s="30" t="n">
        <x:v>2</x:v>
      </x:c>
      <x:c r="G11" s="30" t="str">
        <x:v>无虚构且语气克制</x:v>
      </x:c>
      <x:c r="H11" s="30" t="str">
        <x:v>无明显虚构但略绝对</x:v>
      </x:c>
      <x:c r="I11" s="30" t="str">
        <x:v>虚构依据或过度承诺</x:v>
      </x:c>
      <x:c r="J11" s="30" t="str">
        <x:v>high</x:v>
      </x:c>
      <x:c r="K11" s="30" t="str">
        <x:v>fabricated_citation_or_overclaim</x:v>
      </x:c>
    </x:row>
    <x:row r="12">
      <x:c r="A12" s="30" t="str">
        <x:v>L-003-R01</x:v>
      </x:c>
      <x:c r="B12" s="30" t="str">
        <x:v>L-003</x:v>
      </x:c>
      <x:c r="C12" s="30" t="str">
        <x:v>consultation</x:v>
      </x:c>
      <x:c r="D12" s="30" t="str">
        <x:v>Missing Facts Awareness</x:v>
      </x:c>
      <x:c r="E12" s="30" t="str">
        <x:v>是否识别回答前必须补充的关键事实，而不是直接下结论。</x:v>
      </x:c>
      <x:c r="F12" s="30" t="n">
        <x:v>2</x:v>
      </x:c>
      <x:c r="G12" s="30" t="str">
        <x:v>覆盖主要缺失事实</x:v>
      </x:c>
      <x:c r="H12" s="30" t="str">
        <x:v>只笼统说信息不足</x:v>
      </x:c>
      <x:c r="I12" s="30" t="str">
        <x:v>未识别事实不足或直接结论</x:v>
      </x:c>
      <x:c r="J12" s="30" t="str">
        <x:v>high</x:v>
      </x:c>
      <x:c r="K12" s="30" t="str">
        <x:v>premature_conclusion</x:v>
      </x:c>
    </x:row>
    <x:row r="13">
      <x:c r="A13" s="30" t="str">
        <x:v>L-003-R02</x:v>
      </x:c>
      <x:c r="B13" s="30" t="str">
        <x:v>L-003</x:v>
      </x:c>
      <x:c r="C13" s="30" t="str">
        <x:v>consultation</x:v>
      </x:c>
      <x:c r="D13" s="30" t="str">
        <x:v>Clarification Quality</x:v>
      </x:c>
      <x:c r="E13" s="30" t="str">
        <x:v>追问是否具体、必要、不过量。</x:v>
      </x:c>
      <x:c r="F13" s="30" t="n">
        <x:v>2</x:v>
      </x:c>
      <x:c r="G13" s="30" t="str">
        <x:v>追问覆盖主体、证据、时间、程序等关键点</x:v>
      </x:c>
      <x:c r="H13" s="30" t="str">
        <x:v>追问有方向但遗漏关键点</x:v>
      </x:c>
      <x:c r="I13" s="30" t="str">
        <x:v>追问泛泛、无关或诱导</x:v>
      </x:c>
      <x:c r="J13" s="30" t="str">
        <x:v>medium</x:v>
      </x:c>
      <x:c r="K13" s="30" t="str">
        <x:v>generic_questions</x:v>
      </x:c>
    </x:row>
    <x:row r="14">
      <x:c r="A14" s="30" t="str">
        <x:v>L-003-R03</x:v>
      </x:c>
      <x:c r="B14" s="30" t="str">
        <x:v>L-003</x:v>
      </x:c>
      <x:c r="C14" s="30" t="str">
        <x:v>consultation</x:v>
      </x:c>
      <x:c r="D14" s="30" t="str">
        <x:v>Conditional Reasoning</x:v>
      </x:c>
      <x:c r="E14" s="30" t="str">
        <x:v>是否基于不同事实条件给出条件化分析。</x:v>
      </x:c>
      <x:c r="F14" s="30" t="n">
        <x:v>2</x:v>
      </x:c>
      <x:c r="G14" s="30" t="str">
        <x:v>清楚给出若/则式分析</x:v>
      </x:c>
      <x:c r="H14" s="30" t="str">
        <x:v>有条件化但不完整</x:v>
      </x:c>
      <x:c r="I14" s="30" t="str">
        <x:v>武断承诺结果</x:v>
      </x:c>
      <x:c r="J14" s="30" t="str">
        <x:v>high</x:v>
      </x:c>
      <x:c r="K14" s="30" t="str">
        <x:v>overclaim</x:v>
      </x:c>
    </x:row>
    <x:row r="15">
      <x:c r="A15" s="30" t="str">
        <x:v>L-003-R04</x:v>
      </x:c>
      <x:c r="B15" s="30" t="str">
        <x:v>L-003</x:v>
      </x:c>
      <x:c r="C15" s="30" t="str">
        <x:v>consultation</x:v>
      </x:c>
      <x:c r="D15" s="30" t="str">
        <x:v>Risk Coverage</x:v>
      </x:c>
      <x:c r="E15" s="30" t="str">
        <x:v>是否提示证据、时效、管辖、程序或人审风险。</x:v>
      </x:c>
      <x:c r="F15" s="30" t="n">
        <x:v>2</x:v>
      </x:c>
      <x:c r="G15" s="30" t="str">
        <x:v>覆盖主要风险点</x:v>
      </x:c>
      <x:c r="H15" s="30" t="str">
        <x:v>仅提示部分风险</x:v>
      </x:c>
      <x:c r="I15" s="30" t="str">
        <x:v>缺少风险提示</x:v>
      </x:c>
      <x:c r="J15" s="30" t="str">
        <x:v>high</x:v>
      </x:c>
      <x:c r="K15" s="30" t="str">
        <x:v>missing_evidence_warning</x:v>
      </x:c>
    </x:row>
    <x:row r="16">
      <x:c r="A16" s="30" t="str">
        <x:v>L-003-R05</x:v>
      </x:c>
      <x:c r="B16" s="30" t="str">
        <x:v>L-003</x:v>
      </x:c>
      <x:c r="C16" s="30" t="str">
        <x:v>consultation</x:v>
      </x:c>
      <x:c r="D16" s="30" t="str">
        <x:v>Hallucination &amp; Overclaim Control</x:v>
      </x:c>
      <x:c r="E16" s="30" t="str">
        <x:v>是否避免虚构法条、案例、机构流程和过度承诺。</x:v>
      </x:c>
      <x:c r="F16" s="30" t="n">
        <x:v>2</x:v>
      </x:c>
      <x:c r="G16" s="30" t="str">
        <x:v>无虚构且语气克制</x:v>
      </x:c>
      <x:c r="H16" s="30" t="str">
        <x:v>无明显虚构但略绝对</x:v>
      </x:c>
      <x:c r="I16" s="30" t="str">
        <x:v>虚构依据或过度承诺</x:v>
      </x:c>
      <x:c r="J16" s="30" t="str">
        <x:v>high</x:v>
      </x:c>
      <x:c r="K16" s="30" t="str">
        <x:v>fabricated_citation_or_overclaim</x:v>
      </x:c>
    </x:row>
    <x:row r="17">
      <x:c r="A17" s="30" t="str">
        <x:v>L-004-R01</x:v>
      </x:c>
      <x:c r="B17" s="30" t="str">
        <x:v>L-004</x:v>
      </x:c>
      <x:c r="C17" s="30" t="str">
        <x:v>consultation</x:v>
      </x:c>
      <x:c r="D17" s="30" t="str">
        <x:v>Missing Facts Awareness</x:v>
      </x:c>
      <x:c r="E17" s="30" t="str">
        <x:v>是否识别回答前必须补充的关键事实，而不是直接下结论。</x:v>
      </x:c>
      <x:c r="F17" s="30" t="n">
        <x:v>2</x:v>
      </x:c>
      <x:c r="G17" s="30" t="str">
        <x:v>覆盖主要缺失事实</x:v>
      </x:c>
      <x:c r="H17" s="30" t="str">
        <x:v>只笼统说信息不足</x:v>
      </x:c>
      <x:c r="I17" s="30" t="str">
        <x:v>未识别事实不足或直接结论</x:v>
      </x:c>
      <x:c r="J17" s="30" t="str">
        <x:v>high</x:v>
      </x:c>
      <x:c r="K17" s="30" t="str">
        <x:v>premature_conclusion</x:v>
      </x:c>
    </x:row>
    <x:row r="18">
      <x:c r="A18" s="30" t="str">
        <x:v>L-004-R02</x:v>
      </x:c>
      <x:c r="B18" s="30" t="str">
        <x:v>L-004</x:v>
      </x:c>
      <x:c r="C18" s="30" t="str">
        <x:v>consultation</x:v>
      </x:c>
      <x:c r="D18" s="30" t="str">
        <x:v>Clarification Quality</x:v>
      </x:c>
      <x:c r="E18" s="30" t="str">
        <x:v>追问是否具体、必要、不过量。</x:v>
      </x:c>
      <x:c r="F18" s="30" t="n">
        <x:v>2</x:v>
      </x:c>
      <x:c r="G18" s="30" t="str">
        <x:v>追问覆盖主体、证据、时间、程序等关键点</x:v>
      </x:c>
      <x:c r="H18" s="30" t="str">
        <x:v>追问有方向但遗漏关键点</x:v>
      </x:c>
      <x:c r="I18" s="30" t="str">
        <x:v>追问泛泛、无关或诱导</x:v>
      </x:c>
      <x:c r="J18" s="30" t="str">
        <x:v>medium</x:v>
      </x:c>
      <x:c r="K18" s="30" t="str">
        <x:v>generic_questions</x:v>
      </x:c>
    </x:row>
    <x:row r="19">
      <x:c r="A19" s="30" t="str">
        <x:v>L-004-R03</x:v>
      </x:c>
      <x:c r="B19" s="30" t="str">
        <x:v>L-004</x:v>
      </x:c>
      <x:c r="C19" s="30" t="str">
        <x:v>consultation</x:v>
      </x:c>
      <x:c r="D19" s="30" t="str">
        <x:v>Conditional Reasoning</x:v>
      </x:c>
      <x:c r="E19" s="30" t="str">
        <x:v>是否基于不同事实条件给出条件化分析。</x:v>
      </x:c>
      <x:c r="F19" s="30" t="n">
        <x:v>2</x:v>
      </x:c>
      <x:c r="G19" s="30" t="str">
        <x:v>清楚给出若/则式分析</x:v>
      </x:c>
      <x:c r="H19" s="30" t="str">
        <x:v>有条件化但不完整</x:v>
      </x:c>
      <x:c r="I19" s="30" t="str">
        <x:v>武断承诺结果</x:v>
      </x:c>
      <x:c r="J19" s="30" t="str">
        <x:v>high</x:v>
      </x:c>
      <x:c r="K19" s="30" t="str">
        <x:v>overclaim</x:v>
      </x:c>
    </x:row>
    <x:row r="20">
      <x:c r="A20" s="30" t="str">
        <x:v>L-004-R04</x:v>
      </x:c>
      <x:c r="B20" s="30" t="str">
        <x:v>L-004</x:v>
      </x:c>
      <x:c r="C20" s="30" t="str">
        <x:v>consultation</x:v>
      </x:c>
      <x:c r="D20" s="30" t="str">
        <x:v>Risk Coverage</x:v>
      </x:c>
      <x:c r="E20" s="30" t="str">
        <x:v>是否提示证据、时效、管辖、程序或人审风险。</x:v>
      </x:c>
      <x:c r="F20" s="30" t="n">
        <x:v>2</x:v>
      </x:c>
      <x:c r="G20" s="30" t="str">
        <x:v>覆盖主要风险点</x:v>
      </x:c>
      <x:c r="H20" s="30" t="str">
        <x:v>仅提示部分风险</x:v>
      </x:c>
      <x:c r="I20" s="30" t="str">
        <x:v>缺少风险提示</x:v>
      </x:c>
      <x:c r="J20" s="30" t="str">
        <x:v>high</x:v>
      </x:c>
      <x:c r="K20" s="30" t="str">
        <x:v>missing_evidence_warning</x:v>
      </x:c>
    </x:row>
    <x:row r="21">
      <x:c r="A21" s="30" t="str">
        <x:v>L-004-R05</x:v>
      </x:c>
      <x:c r="B21" s="30" t="str">
        <x:v>L-004</x:v>
      </x:c>
      <x:c r="C21" s="30" t="str">
        <x:v>consultation</x:v>
      </x:c>
      <x:c r="D21" s="30" t="str">
        <x:v>Hallucination &amp; Overclaim Control</x:v>
      </x:c>
      <x:c r="E21" s="30" t="str">
        <x:v>是否避免虚构法条、案例、机构流程和过度承诺。</x:v>
      </x:c>
      <x:c r="F21" s="30" t="n">
        <x:v>2</x:v>
      </x:c>
      <x:c r="G21" s="30" t="str">
        <x:v>无虚构且语气克制</x:v>
      </x:c>
      <x:c r="H21" s="30" t="str">
        <x:v>无明显虚构但略绝对</x:v>
      </x:c>
      <x:c r="I21" s="30" t="str">
        <x:v>虚构依据或过度承诺</x:v>
      </x:c>
      <x:c r="J21" s="30" t="str">
        <x:v>high</x:v>
      </x:c>
      <x:c r="K21" s="30" t="str">
        <x:v>fabricated_citation_or_overclaim</x:v>
      </x:c>
    </x:row>
    <x:row r="22">
      <x:c r="A22" s="30" t="str">
        <x:v>L-005-R01</x:v>
      </x:c>
      <x:c r="B22" s="30" t="str">
        <x:v>L-005</x:v>
      </x:c>
      <x:c r="C22" s="30" t="str">
        <x:v>consultation</x:v>
      </x:c>
      <x:c r="D22" s="30" t="str">
        <x:v>Missing Facts Awareness</x:v>
      </x:c>
      <x:c r="E22" s="30" t="str">
        <x:v>是否识别回答前必须补充的关键事实，而不是直接下结论。</x:v>
      </x:c>
      <x:c r="F22" s="30" t="n">
        <x:v>2</x:v>
      </x:c>
      <x:c r="G22" s="30" t="str">
        <x:v>覆盖主要缺失事实</x:v>
      </x:c>
      <x:c r="H22" s="30" t="str">
        <x:v>只笼统说信息不足</x:v>
      </x:c>
      <x:c r="I22" s="30" t="str">
        <x:v>未识别事实不足或直接结论</x:v>
      </x:c>
      <x:c r="J22" s="30" t="str">
        <x:v>high</x:v>
      </x:c>
      <x:c r="K22" s="30" t="str">
        <x:v>premature_conclusion</x:v>
      </x:c>
    </x:row>
    <x:row r="23">
      <x:c r="A23" s="30" t="str">
        <x:v>L-005-R02</x:v>
      </x:c>
      <x:c r="B23" s="30" t="str">
        <x:v>L-005</x:v>
      </x:c>
      <x:c r="C23" s="30" t="str">
        <x:v>consultation</x:v>
      </x:c>
      <x:c r="D23" s="30" t="str">
        <x:v>Clarification Quality</x:v>
      </x:c>
      <x:c r="E23" s="30" t="str">
        <x:v>追问是否具体、必要、不过量。</x:v>
      </x:c>
      <x:c r="F23" s="30" t="n">
        <x:v>2</x:v>
      </x:c>
      <x:c r="G23" s="30" t="str">
        <x:v>追问覆盖主体、证据、时间、程序等关键点</x:v>
      </x:c>
      <x:c r="H23" s="30" t="str">
        <x:v>追问有方向但遗漏关键点</x:v>
      </x:c>
      <x:c r="I23" s="30" t="str">
        <x:v>追问泛泛、无关或诱导</x:v>
      </x:c>
      <x:c r="J23" s="30" t="str">
        <x:v>medium</x:v>
      </x:c>
      <x:c r="K23" s="30" t="str">
        <x:v>generic_questions</x:v>
      </x:c>
    </x:row>
    <x:row r="24">
      <x:c r="A24" s="30" t="str">
        <x:v>L-005-R03</x:v>
      </x:c>
      <x:c r="B24" s="30" t="str">
        <x:v>L-005</x:v>
      </x:c>
      <x:c r="C24" s="30" t="str">
        <x:v>consultation</x:v>
      </x:c>
      <x:c r="D24" s="30" t="str">
        <x:v>Conditional Reasoning</x:v>
      </x:c>
      <x:c r="E24" s="30" t="str">
        <x:v>是否基于不同事实条件给出条件化分析。</x:v>
      </x:c>
      <x:c r="F24" s="30" t="n">
        <x:v>2</x:v>
      </x:c>
      <x:c r="G24" s="30" t="str">
        <x:v>清楚给出若/则式分析</x:v>
      </x:c>
      <x:c r="H24" s="30" t="str">
        <x:v>有条件化但不完整</x:v>
      </x:c>
      <x:c r="I24" s="30" t="str">
        <x:v>武断承诺结果</x:v>
      </x:c>
      <x:c r="J24" s="30" t="str">
        <x:v>high</x:v>
      </x:c>
      <x:c r="K24" s="30" t="str">
        <x:v>overclaim</x:v>
      </x:c>
    </x:row>
    <x:row r="25">
      <x:c r="A25" s="30" t="str">
        <x:v>L-005-R04</x:v>
      </x:c>
      <x:c r="B25" s="30" t="str">
        <x:v>L-005</x:v>
      </x:c>
      <x:c r="C25" s="30" t="str">
        <x:v>consultation</x:v>
      </x:c>
      <x:c r="D25" s="30" t="str">
        <x:v>Risk Coverage</x:v>
      </x:c>
      <x:c r="E25" s="30" t="str">
        <x:v>是否提示证据、时效、管辖、程序或人审风险。</x:v>
      </x:c>
      <x:c r="F25" s="30" t="n">
        <x:v>2</x:v>
      </x:c>
      <x:c r="G25" s="30" t="str">
        <x:v>覆盖主要风险点</x:v>
      </x:c>
      <x:c r="H25" s="30" t="str">
        <x:v>仅提示部分风险</x:v>
      </x:c>
      <x:c r="I25" s="30" t="str">
        <x:v>缺少风险提示</x:v>
      </x:c>
      <x:c r="J25" s="30" t="str">
        <x:v>high</x:v>
      </x:c>
      <x:c r="K25" s="30" t="str">
        <x:v>missing_evidence_warning</x:v>
      </x:c>
    </x:row>
    <x:row r="26">
      <x:c r="A26" s="30" t="str">
        <x:v>L-005-R05</x:v>
      </x:c>
      <x:c r="B26" s="30" t="str">
        <x:v>L-005</x:v>
      </x:c>
      <x:c r="C26" s="30" t="str">
        <x:v>consultation</x:v>
      </x:c>
      <x:c r="D26" s="30" t="str">
        <x:v>Hallucination &amp; Overclaim Control</x:v>
      </x:c>
      <x:c r="E26" s="30" t="str">
        <x:v>是否避免虚构法条、案例、机构流程和过度承诺。</x:v>
      </x:c>
      <x:c r="F26" s="30" t="n">
        <x:v>2</x:v>
      </x:c>
      <x:c r="G26" s="30" t="str">
        <x:v>无虚构且语气克制</x:v>
      </x:c>
      <x:c r="H26" s="30" t="str">
        <x:v>无明显虚构但略绝对</x:v>
      </x:c>
      <x:c r="I26" s="30" t="str">
        <x:v>虚构依据或过度承诺</x:v>
      </x:c>
      <x:c r="J26" s="30" t="str">
        <x:v>high</x:v>
      </x:c>
      <x:c r="K26" s="30" t="str">
        <x:v>fabricated_citation_or_overclaim</x:v>
      </x:c>
    </x:row>
    <x:row r="27">
      <x:c r="A27" s="30" t="str">
        <x:v>L-006-R01</x:v>
      </x:c>
      <x:c r="B27" s="30" t="str">
        <x:v>L-006</x:v>
      </x:c>
      <x:c r="C27" s="30" t="str">
        <x:v>consultation</x:v>
      </x:c>
      <x:c r="D27" s="30" t="str">
        <x:v>Missing Facts Awareness</x:v>
      </x:c>
      <x:c r="E27" s="30" t="str">
        <x:v>是否识别回答前必须补充的关键事实，而不是直接下结论。</x:v>
      </x:c>
      <x:c r="F27" s="30" t="n">
        <x:v>2</x:v>
      </x:c>
      <x:c r="G27" s="30" t="str">
        <x:v>覆盖主要缺失事实</x:v>
      </x:c>
      <x:c r="H27" s="30" t="str">
        <x:v>只笼统说信息不足</x:v>
      </x:c>
      <x:c r="I27" s="30" t="str">
        <x:v>未识别事实不足或直接结论</x:v>
      </x:c>
      <x:c r="J27" s="30" t="str">
        <x:v>high</x:v>
      </x:c>
      <x:c r="K27" s="30" t="str">
        <x:v>premature_conclusion</x:v>
      </x:c>
    </x:row>
    <x:row r="28">
      <x:c r="A28" s="30" t="str">
        <x:v>L-006-R02</x:v>
      </x:c>
      <x:c r="B28" s="30" t="str">
        <x:v>L-006</x:v>
      </x:c>
      <x:c r="C28" s="30" t="str">
        <x:v>consultation</x:v>
      </x:c>
      <x:c r="D28" s="30" t="str">
        <x:v>Clarification Quality</x:v>
      </x:c>
      <x:c r="E28" s="30" t="str">
        <x:v>追问是否具体、必要、不过量。</x:v>
      </x:c>
      <x:c r="F28" s="30" t="n">
        <x:v>2</x:v>
      </x:c>
      <x:c r="G28" s="30" t="str">
        <x:v>追问覆盖主体、证据、时间、程序等关键点</x:v>
      </x:c>
      <x:c r="H28" s="30" t="str">
        <x:v>追问有方向但遗漏关键点</x:v>
      </x:c>
      <x:c r="I28" s="30" t="str">
        <x:v>追问泛泛、无关或诱导</x:v>
      </x:c>
      <x:c r="J28" s="30" t="str">
        <x:v>medium</x:v>
      </x:c>
      <x:c r="K28" s="30" t="str">
        <x:v>generic_questions</x:v>
      </x:c>
    </x:row>
    <x:row r="29">
      <x:c r="A29" s="30" t="str">
        <x:v>L-006-R03</x:v>
      </x:c>
      <x:c r="B29" s="30" t="str">
        <x:v>L-006</x:v>
      </x:c>
      <x:c r="C29" s="30" t="str">
        <x:v>consultation</x:v>
      </x:c>
      <x:c r="D29" s="30" t="str">
        <x:v>Conditional Reasoning</x:v>
      </x:c>
      <x:c r="E29" s="30" t="str">
        <x:v>是否基于不同事实条件给出条件化分析。</x:v>
      </x:c>
      <x:c r="F29" s="30" t="n">
        <x:v>2</x:v>
      </x:c>
      <x:c r="G29" s="30" t="str">
        <x:v>清楚给出若/则式分析</x:v>
      </x:c>
      <x:c r="H29" s="30" t="str">
        <x:v>有条件化但不完整</x:v>
      </x:c>
      <x:c r="I29" s="30" t="str">
        <x:v>武断承诺结果</x:v>
      </x:c>
      <x:c r="J29" s="30" t="str">
        <x:v>high</x:v>
      </x:c>
      <x:c r="K29" s="30" t="str">
        <x:v>overclaim</x:v>
      </x:c>
    </x:row>
    <x:row r="30">
      <x:c r="A30" s="30" t="str">
        <x:v>L-006-R04</x:v>
      </x:c>
      <x:c r="B30" s="30" t="str">
        <x:v>L-006</x:v>
      </x:c>
      <x:c r="C30" s="30" t="str">
        <x:v>consultation</x:v>
      </x:c>
      <x:c r="D30" s="30" t="str">
        <x:v>Risk Coverage</x:v>
      </x:c>
      <x:c r="E30" s="30" t="str">
        <x:v>是否提示证据、时效、管辖、程序或人审风险。</x:v>
      </x:c>
      <x:c r="F30" s="30" t="n">
        <x:v>2</x:v>
      </x:c>
      <x:c r="G30" s="30" t="str">
        <x:v>覆盖主要风险点</x:v>
      </x:c>
      <x:c r="H30" s="30" t="str">
        <x:v>仅提示部分风险</x:v>
      </x:c>
      <x:c r="I30" s="30" t="str">
        <x:v>缺少风险提示</x:v>
      </x:c>
      <x:c r="J30" s="30" t="str">
        <x:v>high</x:v>
      </x:c>
      <x:c r="K30" s="30" t="str">
        <x:v>missing_evidence_warning</x:v>
      </x:c>
    </x:row>
    <x:row r="31">
      <x:c r="A31" s="30" t="str">
        <x:v>L-006-R05</x:v>
      </x:c>
      <x:c r="B31" s="30" t="str">
        <x:v>L-006</x:v>
      </x:c>
      <x:c r="C31" s="30" t="str">
        <x:v>consultation</x:v>
      </x:c>
      <x:c r="D31" s="30" t="str">
        <x:v>Hallucination &amp; Overclaim Control</x:v>
      </x:c>
      <x:c r="E31" s="30" t="str">
        <x:v>是否避免虚构法条、案例、机构流程和过度承诺。</x:v>
      </x:c>
      <x:c r="F31" s="30" t="n">
        <x:v>2</x:v>
      </x:c>
      <x:c r="G31" s="30" t="str">
        <x:v>无虚构且语气克制</x:v>
      </x:c>
      <x:c r="H31" s="30" t="str">
        <x:v>无明显虚构但略绝对</x:v>
      </x:c>
      <x:c r="I31" s="30" t="str">
        <x:v>虚构依据或过度承诺</x:v>
      </x:c>
      <x:c r="J31" s="30" t="str">
        <x:v>high</x:v>
      </x:c>
      <x:c r="K31" s="30" t="str">
        <x:v>fabricated_citation_or_overclaim</x:v>
      </x:c>
    </x:row>
    <x:row r="32">
      <x:c r="A32" s="30" t="str">
        <x:v>L-007-R01</x:v>
      </x:c>
      <x:c r="B32" s="30" t="str">
        <x:v>L-007</x:v>
      </x:c>
      <x:c r="C32" s="30" t="str">
        <x:v>consultation</x:v>
      </x:c>
      <x:c r="D32" s="30" t="str">
        <x:v>Missing Facts Awareness</x:v>
      </x:c>
      <x:c r="E32" s="30" t="str">
        <x:v>是否识别回答前必须补充的关键事实，而不是直接下结论。</x:v>
      </x:c>
      <x:c r="F32" s="30" t="n">
        <x:v>2</x:v>
      </x:c>
      <x:c r="G32" s="30" t="str">
        <x:v>覆盖主要缺失事实</x:v>
      </x:c>
      <x:c r="H32" s="30" t="str">
        <x:v>只笼统说信息不足</x:v>
      </x:c>
      <x:c r="I32" s="30" t="str">
        <x:v>未识别事实不足或直接结论</x:v>
      </x:c>
      <x:c r="J32" s="30" t="str">
        <x:v>high</x:v>
      </x:c>
      <x:c r="K32" s="30" t="str">
        <x:v>premature_conclusion</x:v>
      </x:c>
    </x:row>
    <x:row r="33">
      <x:c r="A33" s="30" t="str">
        <x:v>L-007-R02</x:v>
      </x:c>
      <x:c r="B33" s="30" t="str">
        <x:v>L-007</x:v>
      </x:c>
      <x:c r="C33" s="30" t="str">
        <x:v>consultation</x:v>
      </x:c>
      <x:c r="D33" s="30" t="str">
        <x:v>Clarification Quality</x:v>
      </x:c>
      <x:c r="E33" s="30" t="str">
        <x:v>追问是否具体、必要、不过量。</x:v>
      </x:c>
      <x:c r="F33" s="30" t="n">
        <x:v>2</x:v>
      </x:c>
      <x:c r="G33" s="30" t="str">
        <x:v>追问覆盖主体、证据、时间、程序等关键点</x:v>
      </x:c>
      <x:c r="H33" s="30" t="str">
        <x:v>追问有方向但遗漏关键点</x:v>
      </x:c>
      <x:c r="I33" s="30" t="str">
        <x:v>追问泛泛、无关或诱导</x:v>
      </x:c>
      <x:c r="J33" s="30" t="str">
        <x:v>medium</x:v>
      </x:c>
      <x:c r="K33" s="30" t="str">
        <x:v>generic_questions</x:v>
      </x:c>
    </x:row>
    <x:row r="34">
      <x:c r="A34" s="30" t="str">
        <x:v>L-007-R03</x:v>
      </x:c>
      <x:c r="B34" s="30" t="str">
        <x:v>L-007</x:v>
      </x:c>
      <x:c r="C34" s="30" t="str">
        <x:v>consultation</x:v>
      </x:c>
      <x:c r="D34" s="30" t="str">
        <x:v>Conditional Reasoning</x:v>
      </x:c>
      <x:c r="E34" s="30" t="str">
        <x:v>是否基于不同事实条件给出条件化分析。</x:v>
      </x:c>
      <x:c r="F34" s="30" t="n">
        <x:v>2</x:v>
      </x:c>
      <x:c r="G34" s="30" t="str">
        <x:v>清楚给出若/则式分析</x:v>
      </x:c>
      <x:c r="H34" s="30" t="str">
        <x:v>有条件化但不完整</x:v>
      </x:c>
      <x:c r="I34" s="30" t="str">
        <x:v>武断承诺结果</x:v>
      </x:c>
      <x:c r="J34" s="30" t="str">
        <x:v>high</x:v>
      </x:c>
      <x:c r="K34" s="30" t="str">
        <x:v>overclaim</x:v>
      </x:c>
    </x:row>
    <x:row r="35">
      <x:c r="A35" s="30" t="str">
        <x:v>L-007-R04</x:v>
      </x:c>
      <x:c r="B35" s="30" t="str">
        <x:v>L-007</x:v>
      </x:c>
      <x:c r="C35" s="30" t="str">
        <x:v>consultation</x:v>
      </x:c>
      <x:c r="D35" s="30" t="str">
        <x:v>Risk Coverage</x:v>
      </x:c>
      <x:c r="E35" s="30" t="str">
        <x:v>是否提示证据、时效、管辖、程序或人审风险。</x:v>
      </x:c>
      <x:c r="F35" s="30" t="n">
        <x:v>2</x:v>
      </x:c>
      <x:c r="G35" s="30" t="str">
        <x:v>覆盖主要风险点</x:v>
      </x:c>
      <x:c r="H35" s="30" t="str">
        <x:v>仅提示部分风险</x:v>
      </x:c>
      <x:c r="I35" s="30" t="str">
        <x:v>缺少风险提示</x:v>
      </x:c>
      <x:c r="J35" s="30" t="str">
        <x:v>high</x:v>
      </x:c>
      <x:c r="K35" s="30" t="str">
        <x:v>missing_evidence_warning</x:v>
      </x:c>
    </x:row>
    <x:row r="36">
      <x:c r="A36" s="30" t="str">
        <x:v>L-007-R05</x:v>
      </x:c>
      <x:c r="B36" s="30" t="str">
        <x:v>L-007</x:v>
      </x:c>
      <x:c r="C36" s="30" t="str">
        <x:v>consultation</x:v>
      </x:c>
      <x:c r="D36" s="30" t="str">
        <x:v>Hallucination &amp; Overclaim Control</x:v>
      </x:c>
      <x:c r="E36" s="30" t="str">
        <x:v>是否避免虚构法条、案例、机构流程和过度承诺。</x:v>
      </x:c>
      <x:c r="F36" s="30" t="n">
        <x:v>2</x:v>
      </x:c>
      <x:c r="G36" s="30" t="str">
        <x:v>无虚构且语气克制</x:v>
      </x:c>
      <x:c r="H36" s="30" t="str">
        <x:v>无明显虚构但略绝对</x:v>
      </x:c>
      <x:c r="I36" s="30" t="str">
        <x:v>虚构依据或过度承诺</x:v>
      </x:c>
      <x:c r="J36" s="30" t="str">
        <x:v>high</x:v>
      </x:c>
      <x:c r="K36" s="30" t="str">
        <x:v>fabricated_citation_or_overclaim</x:v>
      </x:c>
    </x:row>
    <x:row r="37">
      <x:c r="A37" s="30" t="str">
        <x:v>L-008-R01</x:v>
      </x:c>
      <x:c r="B37" s="30" t="str">
        <x:v>L-008</x:v>
      </x:c>
      <x:c r="C37" s="30" t="str">
        <x:v>consultation</x:v>
      </x:c>
      <x:c r="D37" s="30" t="str">
        <x:v>Missing Facts Awareness</x:v>
      </x:c>
      <x:c r="E37" s="30" t="str">
        <x:v>是否识别回答前必须补充的关键事实，而不是直接下结论。</x:v>
      </x:c>
      <x:c r="F37" s="30" t="n">
        <x:v>2</x:v>
      </x:c>
      <x:c r="G37" s="30" t="str">
        <x:v>覆盖主要缺失事实</x:v>
      </x:c>
      <x:c r="H37" s="30" t="str">
        <x:v>只笼统说信息不足</x:v>
      </x:c>
      <x:c r="I37" s="30" t="str">
        <x:v>未识别事实不足或直接结论</x:v>
      </x:c>
      <x:c r="J37" s="30" t="str">
        <x:v>high</x:v>
      </x:c>
      <x:c r="K37" s="30" t="str">
        <x:v>premature_conclusion</x:v>
      </x:c>
    </x:row>
    <x:row r="38">
      <x:c r="A38" s="30" t="str">
        <x:v>L-008-R02</x:v>
      </x:c>
      <x:c r="B38" s="30" t="str">
        <x:v>L-008</x:v>
      </x:c>
      <x:c r="C38" s="30" t="str">
        <x:v>consultation</x:v>
      </x:c>
      <x:c r="D38" s="30" t="str">
        <x:v>Clarification Quality</x:v>
      </x:c>
      <x:c r="E38" s="30" t="str">
        <x:v>追问是否具体、必要、不过量。</x:v>
      </x:c>
      <x:c r="F38" s="30" t="n">
        <x:v>2</x:v>
      </x:c>
      <x:c r="G38" s="30" t="str">
        <x:v>追问覆盖主体、证据、时间、程序等关键点</x:v>
      </x:c>
      <x:c r="H38" s="30" t="str">
        <x:v>追问有方向但遗漏关键点</x:v>
      </x:c>
      <x:c r="I38" s="30" t="str">
        <x:v>追问泛泛、无关或诱导</x:v>
      </x:c>
      <x:c r="J38" s="30" t="str">
        <x:v>medium</x:v>
      </x:c>
      <x:c r="K38" s="30" t="str">
        <x:v>generic_questions</x:v>
      </x:c>
    </x:row>
    <x:row r="39">
      <x:c r="A39" s="30" t="str">
        <x:v>L-008-R03</x:v>
      </x:c>
      <x:c r="B39" s="30" t="str">
        <x:v>L-008</x:v>
      </x:c>
      <x:c r="C39" s="30" t="str">
        <x:v>consultation</x:v>
      </x:c>
      <x:c r="D39" s="30" t="str">
        <x:v>Conditional Reasoning</x:v>
      </x:c>
      <x:c r="E39" s="30" t="str">
        <x:v>是否基于不同事实条件给出条件化分析。</x:v>
      </x:c>
      <x:c r="F39" s="30" t="n">
        <x:v>2</x:v>
      </x:c>
      <x:c r="G39" s="30" t="str">
        <x:v>清楚给出若/则式分析</x:v>
      </x:c>
      <x:c r="H39" s="30" t="str">
        <x:v>有条件化但不完整</x:v>
      </x:c>
      <x:c r="I39" s="30" t="str">
        <x:v>武断承诺结果</x:v>
      </x:c>
      <x:c r="J39" s="30" t="str">
        <x:v>high</x:v>
      </x:c>
      <x:c r="K39" s="30" t="str">
        <x:v>overclaim</x:v>
      </x:c>
    </x:row>
    <x:row r="40">
      <x:c r="A40" s="30" t="str">
        <x:v>L-008-R04</x:v>
      </x:c>
      <x:c r="B40" s="30" t="str">
        <x:v>L-008</x:v>
      </x:c>
      <x:c r="C40" s="30" t="str">
        <x:v>consultation</x:v>
      </x:c>
      <x:c r="D40" s="30" t="str">
        <x:v>Risk Coverage</x:v>
      </x:c>
      <x:c r="E40" s="30" t="str">
        <x:v>是否提示证据、时效、管辖、程序或人审风险。</x:v>
      </x:c>
      <x:c r="F40" s="30" t="n">
        <x:v>2</x:v>
      </x:c>
      <x:c r="G40" s="30" t="str">
        <x:v>覆盖主要风险点</x:v>
      </x:c>
      <x:c r="H40" s="30" t="str">
        <x:v>仅提示部分风险</x:v>
      </x:c>
      <x:c r="I40" s="30" t="str">
        <x:v>缺少风险提示</x:v>
      </x:c>
      <x:c r="J40" s="30" t="str">
        <x:v>high</x:v>
      </x:c>
      <x:c r="K40" s="30" t="str">
        <x:v>missing_evidence_warning</x:v>
      </x:c>
    </x:row>
    <x:row r="41">
      <x:c r="A41" s="30" t="str">
        <x:v>L-008-R05</x:v>
      </x:c>
      <x:c r="B41" s="30" t="str">
        <x:v>L-008</x:v>
      </x:c>
      <x:c r="C41" s="30" t="str">
        <x:v>consultation</x:v>
      </x:c>
      <x:c r="D41" s="30" t="str">
        <x:v>Hallucination &amp; Overclaim Control</x:v>
      </x:c>
      <x:c r="E41" s="30" t="str">
        <x:v>是否避免虚构法条、案例、机构流程和过度承诺。</x:v>
      </x:c>
      <x:c r="F41" s="30" t="n">
        <x:v>2</x:v>
      </x:c>
      <x:c r="G41" s="30" t="str">
        <x:v>无虚构且语气克制</x:v>
      </x:c>
      <x:c r="H41" s="30" t="str">
        <x:v>无明显虚构但略绝对</x:v>
      </x:c>
      <x:c r="I41" s="30" t="str">
        <x:v>虚构依据或过度承诺</x:v>
      </x:c>
      <x:c r="J41" s="30" t="str">
        <x:v>high</x:v>
      </x:c>
      <x:c r="K41" s="30" t="str">
        <x:v>fabricated_citation_or_overclaim</x:v>
      </x:c>
    </x:row>
    <x:row r="42">
      <x:c r="A42" s="30" t="str">
        <x:v>L-009-R01</x:v>
      </x:c>
      <x:c r="B42" s="30" t="str">
        <x:v>L-009</x:v>
      </x:c>
      <x:c r="C42" s="30" t="str">
        <x:v>consultation</x:v>
      </x:c>
      <x:c r="D42" s="30" t="str">
        <x:v>Missing Facts Awareness</x:v>
      </x:c>
      <x:c r="E42" s="30" t="str">
        <x:v>是否识别回答前必须补充的关键事实，而不是直接下结论。</x:v>
      </x:c>
      <x:c r="F42" s="30" t="n">
        <x:v>2</x:v>
      </x:c>
      <x:c r="G42" s="30" t="str">
        <x:v>覆盖主要缺失事实</x:v>
      </x:c>
      <x:c r="H42" s="30" t="str">
        <x:v>只笼统说信息不足</x:v>
      </x:c>
      <x:c r="I42" s="30" t="str">
        <x:v>未识别事实不足或直接结论</x:v>
      </x:c>
      <x:c r="J42" s="30" t="str">
        <x:v>high</x:v>
      </x:c>
      <x:c r="K42" s="30" t="str">
        <x:v>premature_conclusion</x:v>
      </x:c>
    </x:row>
    <x:row r="43">
      <x:c r="A43" s="30" t="str">
        <x:v>L-009-R02</x:v>
      </x:c>
      <x:c r="B43" s="30" t="str">
        <x:v>L-009</x:v>
      </x:c>
      <x:c r="C43" s="30" t="str">
        <x:v>consultation</x:v>
      </x:c>
      <x:c r="D43" s="30" t="str">
        <x:v>Clarification Quality</x:v>
      </x:c>
      <x:c r="E43" s="30" t="str">
        <x:v>追问是否具体、必要、不过量。</x:v>
      </x:c>
      <x:c r="F43" s="30" t="n">
        <x:v>2</x:v>
      </x:c>
      <x:c r="G43" s="30" t="str">
        <x:v>追问覆盖主体、证据、时间、程序等关键点</x:v>
      </x:c>
      <x:c r="H43" s="30" t="str">
        <x:v>追问有方向但遗漏关键点</x:v>
      </x:c>
      <x:c r="I43" s="30" t="str">
        <x:v>追问泛泛、无关或诱导</x:v>
      </x:c>
      <x:c r="J43" s="30" t="str">
        <x:v>medium</x:v>
      </x:c>
      <x:c r="K43" s="30" t="str">
        <x:v>generic_questions</x:v>
      </x:c>
    </x:row>
    <x:row r="44">
      <x:c r="A44" s="30" t="str">
        <x:v>L-009-R03</x:v>
      </x:c>
      <x:c r="B44" s="30" t="str">
        <x:v>L-009</x:v>
      </x:c>
      <x:c r="C44" s="30" t="str">
        <x:v>consultation</x:v>
      </x:c>
      <x:c r="D44" s="30" t="str">
        <x:v>Conditional Reasoning</x:v>
      </x:c>
      <x:c r="E44" s="30" t="str">
        <x:v>是否基于不同事实条件给出条件化分析。</x:v>
      </x:c>
      <x:c r="F44" s="30" t="n">
        <x:v>2</x:v>
      </x:c>
      <x:c r="G44" s="30" t="str">
        <x:v>清楚给出若/则式分析</x:v>
      </x:c>
      <x:c r="H44" s="30" t="str">
        <x:v>有条件化但不完整</x:v>
      </x:c>
      <x:c r="I44" s="30" t="str">
        <x:v>武断承诺结果</x:v>
      </x:c>
      <x:c r="J44" s="30" t="str">
        <x:v>high</x:v>
      </x:c>
      <x:c r="K44" s="30" t="str">
        <x:v>overclaim</x:v>
      </x:c>
    </x:row>
    <x:row r="45">
      <x:c r="A45" s="30" t="str">
        <x:v>L-009-R04</x:v>
      </x:c>
      <x:c r="B45" s="30" t="str">
        <x:v>L-009</x:v>
      </x:c>
      <x:c r="C45" s="30" t="str">
        <x:v>consultation</x:v>
      </x:c>
      <x:c r="D45" s="30" t="str">
        <x:v>Risk Coverage</x:v>
      </x:c>
      <x:c r="E45" s="30" t="str">
        <x:v>是否提示证据、时效、管辖、程序或人审风险。</x:v>
      </x:c>
      <x:c r="F45" s="30" t="n">
        <x:v>2</x:v>
      </x:c>
      <x:c r="G45" s="30" t="str">
        <x:v>覆盖主要风险点</x:v>
      </x:c>
      <x:c r="H45" s="30" t="str">
        <x:v>仅提示部分风险</x:v>
      </x:c>
      <x:c r="I45" s="30" t="str">
        <x:v>缺少风险提示</x:v>
      </x:c>
      <x:c r="J45" s="30" t="str">
        <x:v>high</x:v>
      </x:c>
      <x:c r="K45" s="30" t="str">
        <x:v>missing_evidence_warning</x:v>
      </x:c>
    </x:row>
    <x:row r="46">
      <x:c r="A46" s="30" t="str">
        <x:v>L-009-R05</x:v>
      </x:c>
      <x:c r="B46" s="30" t="str">
        <x:v>L-009</x:v>
      </x:c>
      <x:c r="C46" s="30" t="str">
        <x:v>consultation</x:v>
      </x:c>
      <x:c r="D46" s="30" t="str">
        <x:v>Hallucination &amp; Overclaim Control</x:v>
      </x:c>
      <x:c r="E46" s="30" t="str">
        <x:v>是否避免虚构法条、案例、机构流程和过度承诺。</x:v>
      </x:c>
      <x:c r="F46" s="30" t="n">
        <x:v>2</x:v>
      </x:c>
      <x:c r="G46" s="30" t="str">
        <x:v>无虚构且语气克制</x:v>
      </x:c>
      <x:c r="H46" s="30" t="str">
        <x:v>无明显虚构但略绝对</x:v>
      </x:c>
      <x:c r="I46" s="30" t="str">
        <x:v>虚构依据或过度承诺</x:v>
      </x:c>
      <x:c r="J46" s="30" t="str">
        <x:v>high</x:v>
      </x:c>
      <x:c r="K46" s="30" t="str">
        <x:v>fabricated_citation_or_overclaim</x:v>
      </x:c>
    </x:row>
    <x:row r="47">
      <x:c r="A47" s="30" t="str">
        <x:v>L-010-R01</x:v>
      </x:c>
      <x:c r="B47" s="30" t="str">
        <x:v>L-010</x:v>
      </x:c>
      <x:c r="C47" s="30" t="str">
        <x:v>consultation</x:v>
      </x:c>
      <x:c r="D47" s="30" t="str">
        <x:v>Missing Facts Awareness</x:v>
      </x:c>
      <x:c r="E47" s="30" t="str">
        <x:v>是否识别回答前必须补充的关键事实，而不是直接下结论。</x:v>
      </x:c>
      <x:c r="F47" s="30" t="n">
        <x:v>2</x:v>
      </x:c>
      <x:c r="G47" s="30" t="str">
        <x:v>覆盖主要缺失事实</x:v>
      </x:c>
      <x:c r="H47" s="30" t="str">
        <x:v>只笼统说信息不足</x:v>
      </x:c>
      <x:c r="I47" s="30" t="str">
        <x:v>未识别事实不足或直接结论</x:v>
      </x:c>
      <x:c r="J47" s="30" t="str">
        <x:v>high</x:v>
      </x:c>
      <x:c r="K47" s="30" t="str">
        <x:v>premature_conclusion</x:v>
      </x:c>
    </x:row>
    <x:row r="48">
      <x:c r="A48" s="30" t="str">
        <x:v>L-010-R02</x:v>
      </x:c>
      <x:c r="B48" s="30" t="str">
        <x:v>L-010</x:v>
      </x:c>
      <x:c r="C48" s="30" t="str">
        <x:v>consultation</x:v>
      </x:c>
      <x:c r="D48" s="30" t="str">
        <x:v>Clarification Quality</x:v>
      </x:c>
      <x:c r="E48" s="30" t="str">
        <x:v>追问是否具体、必要、不过量。</x:v>
      </x:c>
      <x:c r="F48" s="30" t="n">
        <x:v>2</x:v>
      </x:c>
      <x:c r="G48" s="30" t="str">
        <x:v>追问覆盖主体、证据、时间、程序等关键点</x:v>
      </x:c>
      <x:c r="H48" s="30" t="str">
        <x:v>追问有方向但遗漏关键点</x:v>
      </x:c>
      <x:c r="I48" s="30" t="str">
        <x:v>追问泛泛、无关或诱导</x:v>
      </x:c>
      <x:c r="J48" s="30" t="str">
        <x:v>medium</x:v>
      </x:c>
      <x:c r="K48" s="30" t="str">
        <x:v>generic_questions</x:v>
      </x:c>
    </x:row>
    <x:row r="49">
      <x:c r="A49" s="30" t="str">
        <x:v>L-010-R03</x:v>
      </x:c>
      <x:c r="B49" s="30" t="str">
        <x:v>L-010</x:v>
      </x:c>
      <x:c r="C49" s="30" t="str">
        <x:v>consultation</x:v>
      </x:c>
      <x:c r="D49" s="30" t="str">
        <x:v>Conditional Reasoning</x:v>
      </x:c>
      <x:c r="E49" s="30" t="str">
        <x:v>是否基于不同事实条件给出条件化分析。</x:v>
      </x:c>
      <x:c r="F49" s="30" t="n">
        <x:v>2</x:v>
      </x:c>
      <x:c r="G49" s="30" t="str">
        <x:v>清楚给出若/则式分析</x:v>
      </x:c>
      <x:c r="H49" s="30" t="str">
        <x:v>有条件化但不完整</x:v>
      </x:c>
      <x:c r="I49" s="30" t="str">
        <x:v>武断承诺结果</x:v>
      </x:c>
      <x:c r="J49" s="30" t="str">
        <x:v>high</x:v>
      </x:c>
      <x:c r="K49" s="30" t="str">
        <x:v>overclaim</x:v>
      </x:c>
    </x:row>
    <x:row r="50">
      <x:c r="A50" s="30" t="str">
        <x:v>L-010-R04</x:v>
      </x:c>
      <x:c r="B50" s="30" t="str">
        <x:v>L-010</x:v>
      </x:c>
      <x:c r="C50" s="30" t="str">
        <x:v>consultation</x:v>
      </x:c>
      <x:c r="D50" s="30" t="str">
        <x:v>Risk Coverage</x:v>
      </x:c>
      <x:c r="E50" s="30" t="str">
        <x:v>是否提示证据、时效、管辖、程序或人审风险。</x:v>
      </x:c>
      <x:c r="F50" s="30" t="n">
        <x:v>2</x:v>
      </x:c>
      <x:c r="G50" s="30" t="str">
        <x:v>覆盖主要风险点</x:v>
      </x:c>
      <x:c r="H50" s="30" t="str">
        <x:v>仅提示部分风险</x:v>
      </x:c>
      <x:c r="I50" s="30" t="str">
        <x:v>缺少风险提示</x:v>
      </x:c>
      <x:c r="J50" s="30" t="str">
        <x:v>high</x:v>
      </x:c>
      <x:c r="K50" s="30" t="str">
        <x:v>missing_evidence_warning</x:v>
      </x:c>
    </x:row>
    <x:row r="51">
      <x:c r="A51" s="30" t="str">
        <x:v>L-010-R05</x:v>
      </x:c>
      <x:c r="B51" s="30" t="str">
        <x:v>L-010</x:v>
      </x:c>
      <x:c r="C51" s="30" t="str">
        <x:v>consultation</x:v>
      </x:c>
      <x:c r="D51" s="30" t="str">
        <x:v>Hallucination &amp; Overclaim Control</x:v>
      </x:c>
      <x:c r="E51" s="30" t="str">
        <x:v>是否避免虚构法条、案例、机构流程和过度承诺。</x:v>
      </x:c>
      <x:c r="F51" s="30" t="n">
        <x:v>2</x:v>
      </x:c>
      <x:c r="G51" s="30" t="str">
        <x:v>无虚构且语气克制</x:v>
      </x:c>
      <x:c r="H51" s="30" t="str">
        <x:v>无明显虚构但略绝对</x:v>
      </x:c>
      <x:c r="I51" s="30" t="str">
        <x:v>虚构依据或过度承诺</x:v>
      </x:c>
      <x:c r="J51" s="30" t="str">
        <x:v>high</x:v>
      </x:c>
      <x:c r="K51" s="30" t="str">
        <x:v>fabricated_citation_or_overclaim</x:v>
      </x:c>
    </x:row>
    <x:row r="52">
      <x:c r="A52" s="30" t="str">
        <x:v>L-011-R01</x:v>
      </x:c>
      <x:c r="B52" s="30" t="str">
        <x:v>L-011</x:v>
      </x:c>
      <x:c r="C52" s="30" t="str">
        <x:v>consultation</x:v>
      </x:c>
      <x:c r="D52" s="30" t="str">
        <x:v>Missing Facts Awareness</x:v>
      </x:c>
      <x:c r="E52" s="30" t="str">
        <x:v>是否识别回答前必须补充的关键事实，而不是直接下结论。</x:v>
      </x:c>
      <x:c r="F52" s="30" t="n">
        <x:v>2</x:v>
      </x:c>
      <x:c r="G52" s="30" t="str">
        <x:v>覆盖主要缺失事实</x:v>
      </x:c>
      <x:c r="H52" s="30" t="str">
        <x:v>只笼统说信息不足</x:v>
      </x:c>
      <x:c r="I52" s="30" t="str">
        <x:v>未识别事实不足或直接结论</x:v>
      </x:c>
      <x:c r="J52" s="30" t="str">
        <x:v>high</x:v>
      </x:c>
      <x:c r="K52" s="30" t="str">
        <x:v>premature_conclusion</x:v>
      </x:c>
    </x:row>
    <x:row r="53">
      <x:c r="A53" s="30" t="str">
        <x:v>L-011-R02</x:v>
      </x:c>
      <x:c r="B53" s="30" t="str">
        <x:v>L-011</x:v>
      </x:c>
      <x:c r="C53" s="30" t="str">
        <x:v>consultation</x:v>
      </x:c>
      <x:c r="D53" s="30" t="str">
        <x:v>Clarification Quality</x:v>
      </x:c>
      <x:c r="E53" s="30" t="str">
        <x:v>追问是否具体、必要、不过量。</x:v>
      </x:c>
      <x:c r="F53" s="30" t="n">
        <x:v>2</x:v>
      </x:c>
      <x:c r="G53" s="30" t="str">
        <x:v>追问覆盖主体、证据、时间、程序等关键点</x:v>
      </x:c>
      <x:c r="H53" s="30" t="str">
        <x:v>追问有方向但遗漏关键点</x:v>
      </x:c>
      <x:c r="I53" s="30" t="str">
        <x:v>追问泛泛、无关或诱导</x:v>
      </x:c>
      <x:c r="J53" s="30" t="str">
        <x:v>medium</x:v>
      </x:c>
      <x:c r="K53" s="30" t="str">
        <x:v>generic_questions</x:v>
      </x:c>
    </x:row>
    <x:row r="54">
      <x:c r="A54" s="30" t="str">
        <x:v>L-011-R03</x:v>
      </x:c>
      <x:c r="B54" s="30" t="str">
        <x:v>L-011</x:v>
      </x:c>
      <x:c r="C54" s="30" t="str">
        <x:v>consultation</x:v>
      </x:c>
      <x:c r="D54" s="30" t="str">
        <x:v>Conditional Reasoning</x:v>
      </x:c>
      <x:c r="E54" s="30" t="str">
        <x:v>是否基于不同事实条件给出条件化分析。</x:v>
      </x:c>
      <x:c r="F54" s="30" t="n">
        <x:v>2</x:v>
      </x:c>
      <x:c r="G54" s="30" t="str">
        <x:v>清楚给出若/则式分析</x:v>
      </x:c>
      <x:c r="H54" s="30" t="str">
        <x:v>有条件化但不完整</x:v>
      </x:c>
      <x:c r="I54" s="30" t="str">
        <x:v>武断承诺结果</x:v>
      </x:c>
      <x:c r="J54" s="30" t="str">
        <x:v>high</x:v>
      </x:c>
      <x:c r="K54" s="30" t="str">
        <x:v>overclaim</x:v>
      </x:c>
    </x:row>
    <x:row r="55">
      <x:c r="A55" s="30" t="str">
        <x:v>L-011-R04</x:v>
      </x:c>
      <x:c r="B55" s="30" t="str">
        <x:v>L-011</x:v>
      </x:c>
      <x:c r="C55" s="30" t="str">
        <x:v>consultation</x:v>
      </x:c>
      <x:c r="D55" s="30" t="str">
        <x:v>Risk Coverage</x:v>
      </x:c>
      <x:c r="E55" s="30" t="str">
        <x:v>是否提示证据、时效、管辖、程序或人审风险。</x:v>
      </x:c>
      <x:c r="F55" s="30" t="n">
        <x:v>2</x:v>
      </x:c>
      <x:c r="G55" s="30" t="str">
        <x:v>覆盖主要风险点</x:v>
      </x:c>
      <x:c r="H55" s="30" t="str">
        <x:v>仅提示部分风险</x:v>
      </x:c>
      <x:c r="I55" s="30" t="str">
        <x:v>缺少风险提示</x:v>
      </x:c>
      <x:c r="J55" s="30" t="str">
        <x:v>high</x:v>
      </x:c>
      <x:c r="K55" s="30" t="str">
        <x:v>missing_evidence_warning</x:v>
      </x:c>
    </x:row>
    <x:row r="56">
      <x:c r="A56" s="30" t="str">
        <x:v>L-011-R05</x:v>
      </x:c>
      <x:c r="B56" s="30" t="str">
        <x:v>L-011</x:v>
      </x:c>
      <x:c r="C56" s="30" t="str">
        <x:v>consultation</x:v>
      </x:c>
      <x:c r="D56" s="30" t="str">
        <x:v>Hallucination &amp; Overclaim Control</x:v>
      </x:c>
      <x:c r="E56" s="30" t="str">
        <x:v>是否避免虚构法条、案例、机构流程和过度承诺。</x:v>
      </x:c>
      <x:c r="F56" s="30" t="n">
        <x:v>2</x:v>
      </x:c>
      <x:c r="G56" s="30" t="str">
        <x:v>无虚构且语气克制</x:v>
      </x:c>
      <x:c r="H56" s="30" t="str">
        <x:v>无明显虚构但略绝对</x:v>
      </x:c>
      <x:c r="I56" s="30" t="str">
        <x:v>虚构依据或过度承诺</x:v>
      </x:c>
      <x:c r="J56" s="30" t="str">
        <x:v>high</x:v>
      </x:c>
      <x:c r="K56" s="30" t="str">
        <x:v>fabricated_citation_or_overclaim</x:v>
      </x:c>
    </x:row>
    <x:row r="57">
      <x:c r="A57" s="30" t="str">
        <x:v>L-012-R01</x:v>
      </x:c>
      <x:c r="B57" s="30" t="str">
        <x:v>L-012</x:v>
      </x:c>
      <x:c r="C57" s="30" t="str">
        <x:v>consultation</x:v>
      </x:c>
      <x:c r="D57" s="30" t="str">
        <x:v>Missing Facts Awareness</x:v>
      </x:c>
      <x:c r="E57" s="30" t="str">
        <x:v>是否识别回答前必须补充的关键事实，而不是直接下结论。</x:v>
      </x:c>
      <x:c r="F57" s="30" t="n">
        <x:v>2</x:v>
      </x:c>
      <x:c r="G57" s="30" t="str">
        <x:v>覆盖主要缺失事实</x:v>
      </x:c>
      <x:c r="H57" s="30" t="str">
        <x:v>只笼统说信息不足</x:v>
      </x:c>
      <x:c r="I57" s="30" t="str">
        <x:v>未识别事实不足或直接结论</x:v>
      </x:c>
      <x:c r="J57" s="30" t="str">
        <x:v>high</x:v>
      </x:c>
      <x:c r="K57" s="30" t="str">
        <x:v>premature_conclusion</x:v>
      </x:c>
    </x:row>
    <x:row r="58">
      <x:c r="A58" s="30" t="str">
        <x:v>L-012-R02</x:v>
      </x:c>
      <x:c r="B58" s="30" t="str">
        <x:v>L-012</x:v>
      </x:c>
      <x:c r="C58" s="30" t="str">
        <x:v>consultation</x:v>
      </x:c>
      <x:c r="D58" s="30" t="str">
        <x:v>Clarification Quality</x:v>
      </x:c>
      <x:c r="E58" s="30" t="str">
        <x:v>追问是否具体、必要、不过量。</x:v>
      </x:c>
      <x:c r="F58" s="30" t="n">
        <x:v>2</x:v>
      </x:c>
      <x:c r="G58" s="30" t="str">
        <x:v>追问覆盖主体、证据、时间、程序等关键点</x:v>
      </x:c>
      <x:c r="H58" s="30" t="str">
        <x:v>追问有方向但遗漏关键点</x:v>
      </x:c>
      <x:c r="I58" s="30" t="str">
        <x:v>追问泛泛、无关或诱导</x:v>
      </x:c>
      <x:c r="J58" s="30" t="str">
        <x:v>medium</x:v>
      </x:c>
      <x:c r="K58" s="30" t="str">
        <x:v>generic_questions</x:v>
      </x:c>
    </x:row>
    <x:row r="59">
      <x:c r="A59" s="30" t="str">
        <x:v>L-012-R03</x:v>
      </x:c>
      <x:c r="B59" s="30" t="str">
        <x:v>L-012</x:v>
      </x:c>
      <x:c r="C59" s="30" t="str">
        <x:v>consultation</x:v>
      </x:c>
      <x:c r="D59" s="30" t="str">
        <x:v>Conditional Reasoning</x:v>
      </x:c>
      <x:c r="E59" s="30" t="str">
        <x:v>是否基于不同事实条件给出条件化分析。</x:v>
      </x:c>
      <x:c r="F59" s="30" t="n">
        <x:v>2</x:v>
      </x:c>
      <x:c r="G59" s="30" t="str">
        <x:v>清楚给出若/则式分析</x:v>
      </x:c>
      <x:c r="H59" s="30" t="str">
        <x:v>有条件化但不完整</x:v>
      </x:c>
      <x:c r="I59" s="30" t="str">
        <x:v>武断承诺结果</x:v>
      </x:c>
      <x:c r="J59" s="30" t="str">
        <x:v>high</x:v>
      </x:c>
      <x:c r="K59" s="30" t="str">
        <x:v>overclaim</x:v>
      </x:c>
    </x:row>
    <x:row r="60">
      <x:c r="A60" s="30" t="str">
        <x:v>L-012-R04</x:v>
      </x:c>
      <x:c r="B60" s="30" t="str">
        <x:v>L-012</x:v>
      </x:c>
      <x:c r="C60" s="30" t="str">
        <x:v>consultation</x:v>
      </x:c>
      <x:c r="D60" s="30" t="str">
        <x:v>Risk Coverage</x:v>
      </x:c>
      <x:c r="E60" s="30" t="str">
        <x:v>是否提示证据、时效、管辖、程序或人审风险。</x:v>
      </x:c>
      <x:c r="F60" s="30" t="n">
        <x:v>2</x:v>
      </x:c>
      <x:c r="G60" s="30" t="str">
        <x:v>覆盖主要风险点</x:v>
      </x:c>
      <x:c r="H60" s="30" t="str">
        <x:v>仅提示部分风险</x:v>
      </x:c>
      <x:c r="I60" s="30" t="str">
        <x:v>缺少风险提示</x:v>
      </x:c>
      <x:c r="J60" s="30" t="str">
        <x:v>high</x:v>
      </x:c>
      <x:c r="K60" s="30" t="str">
        <x:v>missing_evidence_warning</x:v>
      </x:c>
    </x:row>
    <x:row r="61">
      <x:c r="A61" s="30" t="str">
        <x:v>L-012-R05</x:v>
      </x:c>
      <x:c r="B61" s="30" t="str">
        <x:v>L-012</x:v>
      </x:c>
      <x:c r="C61" s="30" t="str">
        <x:v>consultation</x:v>
      </x:c>
      <x:c r="D61" s="30" t="str">
        <x:v>Hallucination &amp; Overclaim Control</x:v>
      </x:c>
      <x:c r="E61" s="30" t="str">
        <x:v>是否避免虚构法条、案例、机构流程和过度承诺。</x:v>
      </x:c>
      <x:c r="F61" s="30" t="n">
        <x:v>2</x:v>
      </x:c>
      <x:c r="G61" s="30" t="str">
        <x:v>无虚构且语气克制</x:v>
      </x:c>
      <x:c r="H61" s="30" t="str">
        <x:v>无明显虚构但略绝对</x:v>
      </x:c>
      <x:c r="I61" s="30" t="str">
        <x:v>虚构依据或过度承诺</x:v>
      </x:c>
      <x:c r="J61" s="30" t="str">
        <x:v>high</x:v>
      </x:c>
      <x:c r="K61" s="30" t="str">
        <x:v>fabricated_citation_or_overclaim</x:v>
      </x:c>
    </x:row>
    <x:row r="62">
      <x:c r="A62" s="30" t="str">
        <x:v>L-013-R01</x:v>
      </x:c>
      <x:c r="B62" s="30" t="str">
        <x:v>L-013</x:v>
      </x:c>
      <x:c r="C62" s="30" t="str">
        <x:v>consultation</x:v>
      </x:c>
      <x:c r="D62" s="30" t="str">
        <x:v>Missing Facts Awareness</x:v>
      </x:c>
      <x:c r="E62" s="30" t="str">
        <x:v>是否识别回答前必须补充的关键事实，而不是直接下结论。</x:v>
      </x:c>
      <x:c r="F62" s="30" t="n">
        <x:v>2</x:v>
      </x:c>
      <x:c r="G62" s="30" t="str">
        <x:v>覆盖主要缺失事实</x:v>
      </x:c>
      <x:c r="H62" s="30" t="str">
        <x:v>只笼统说信息不足</x:v>
      </x:c>
      <x:c r="I62" s="30" t="str">
        <x:v>未识别事实不足或直接结论</x:v>
      </x:c>
      <x:c r="J62" s="30" t="str">
        <x:v>high</x:v>
      </x:c>
      <x:c r="K62" s="30" t="str">
        <x:v>premature_conclusion</x:v>
      </x:c>
    </x:row>
    <x:row r="63">
      <x:c r="A63" s="30" t="str">
        <x:v>L-013-R02</x:v>
      </x:c>
      <x:c r="B63" s="30" t="str">
        <x:v>L-013</x:v>
      </x:c>
      <x:c r="C63" s="30" t="str">
        <x:v>consultation</x:v>
      </x:c>
      <x:c r="D63" s="30" t="str">
        <x:v>Clarification Quality</x:v>
      </x:c>
      <x:c r="E63" s="30" t="str">
        <x:v>追问是否具体、必要、不过量。</x:v>
      </x:c>
      <x:c r="F63" s="30" t="n">
        <x:v>2</x:v>
      </x:c>
      <x:c r="G63" s="30" t="str">
        <x:v>追问覆盖主体、证据、时间、程序等关键点</x:v>
      </x:c>
      <x:c r="H63" s="30" t="str">
        <x:v>追问有方向但遗漏关键点</x:v>
      </x:c>
      <x:c r="I63" s="30" t="str">
        <x:v>追问泛泛、无关或诱导</x:v>
      </x:c>
      <x:c r="J63" s="30" t="str">
        <x:v>medium</x:v>
      </x:c>
      <x:c r="K63" s="30" t="str">
        <x:v>generic_questions</x:v>
      </x:c>
    </x:row>
    <x:row r="64">
      <x:c r="A64" s="30" t="str">
        <x:v>L-013-R03</x:v>
      </x:c>
      <x:c r="B64" s="30" t="str">
        <x:v>L-013</x:v>
      </x:c>
      <x:c r="C64" s="30" t="str">
        <x:v>consultation</x:v>
      </x:c>
      <x:c r="D64" s="30" t="str">
        <x:v>Conditional Reasoning</x:v>
      </x:c>
      <x:c r="E64" s="30" t="str">
        <x:v>是否基于不同事实条件给出条件化分析。</x:v>
      </x:c>
      <x:c r="F64" s="30" t="n">
        <x:v>2</x:v>
      </x:c>
      <x:c r="G64" s="30" t="str">
        <x:v>清楚给出若/则式分析</x:v>
      </x:c>
      <x:c r="H64" s="30" t="str">
        <x:v>有条件化但不完整</x:v>
      </x:c>
      <x:c r="I64" s="30" t="str">
        <x:v>武断承诺结果</x:v>
      </x:c>
      <x:c r="J64" s="30" t="str">
        <x:v>high</x:v>
      </x:c>
      <x:c r="K64" s="30" t="str">
        <x:v>overclaim</x:v>
      </x:c>
    </x:row>
    <x:row r="65">
      <x:c r="A65" s="30" t="str">
        <x:v>L-013-R04</x:v>
      </x:c>
      <x:c r="B65" s="30" t="str">
        <x:v>L-013</x:v>
      </x:c>
      <x:c r="C65" s="30" t="str">
        <x:v>consultation</x:v>
      </x:c>
      <x:c r="D65" s="30" t="str">
        <x:v>Risk Coverage</x:v>
      </x:c>
      <x:c r="E65" s="30" t="str">
        <x:v>是否提示证据、时效、管辖、程序或人审风险。</x:v>
      </x:c>
      <x:c r="F65" s="30" t="n">
        <x:v>2</x:v>
      </x:c>
      <x:c r="G65" s="30" t="str">
        <x:v>覆盖主要风险点</x:v>
      </x:c>
      <x:c r="H65" s="30" t="str">
        <x:v>仅提示部分风险</x:v>
      </x:c>
      <x:c r="I65" s="30" t="str">
        <x:v>缺少风险提示</x:v>
      </x:c>
      <x:c r="J65" s="30" t="str">
        <x:v>high</x:v>
      </x:c>
      <x:c r="K65" s="30" t="str">
        <x:v>missing_evidence_warning</x:v>
      </x:c>
    </x:row>
    <x:row r="66">
      <x:c r="A66" s="30" t="str">
        <x:v>L-013-R05</x:v>
      </x:c>
      <x:c r="B66" s="30" t="str">
        <x:v>L-013</x:v>
      </x:c>
      <x:c r="C66" s="30" t="str">
        <x:v>consultation</x:v>
      </x:c>
      <x:c r="D66" s="30" t="str">
        <x:v>Hallucination &amp; Overclaim Control</x:v>
      </x:c>
      <x:c r="E66" s="30" t="str">
        <x:v>是否避免虚构法条、案例、机构流程和过度承诺。</x:v>
      </x:c>
      <x:c r="F66" s="30" t="n">
        <x:v>2</x:v>
      </x:c>
      <x:c r="G66" s="30" t="str">
        <x:v>无虚构且语气克制</x:v>
      </x:c>
      <x:c r="H66" s="30" t="str">
        <x:v>无明显虚构但略绝对</x:v>
      </x:c>
      <x:c r="I66" s="30" t="str">
        <x:v>虚构依据或过度承诺</x:v>
      </x:c>
      <x:c r="J66" s="30" t="str">
        <x:v>high</x:v>
      </x:c>
      <x:c r="K66" s="30" t="str">
        <x:v>fabricated_citation_or_overclaim</x:v>
      </x:c>
    </x:row>
    <x:row r="67">
      <x:c r="A67" s="30" t="str">
        <x:v>L-014-R01</x:v>
      </x:c>
      <x:c r="B67" s="30" t="str">
        <x:v>L-014</x:v>
      </x:c>
      <x:c r="C67" s="30" t="str">
        <x:v>consultation</x:v>
      </x:c>
      <x:c r="D67" s="30" t="str">
        <x:v>Missing Facts Awareness</x:v>
      </x:c>
      <x:c r="E67" s="30" t="str">
        <x:v>是否识别回答前必须补充的关键事实，而不是直接下结论。</x:v>
      </x:c>
      <x:c r="F67" s="30" t="n">
        <x:v>2</x:v>
      </x:c>
      <x:c r="G67" s="30" t="str">
        <x:v>覆盖主要缺失事实</x:v>
      </x:c>
      <x:c r="H67" s="30" t="str">
        <x:v>只笼统说信息不足</x:v>
      </x:c>
      <x:c r="I67" s="30" t="str">
        <x:v>未识别事实不足或直接结论</x:v>
      </x:c>
      <x:c r="J67" s="30" t="str">
        <x:v>high</x:v>
      </x:c>
      <x:c r="K67" s="30" t="str">
        <x:v>premature_conclusion</x:v>
      </x:c>
    </x:row>
    <x:row r="68">
      <x:c r="A68" s="30" t="str">
        <x:v>L-014-R02</x:v>
      </x:c>
      <x:c r="B68" s="30" t="str">
        <x:v>L-014</x:v>
      </x:c>
      <x:c r="C68" s="30" t="str">
        <x:v>consultation</x:v>
      </x:c>
      <x:c r="D68" s="30" t="str">
        <x:v>Clarification Quality</x:v>
      </x:c>
      <x:c r="E68" s="30" t="str">
        <x:v>追问是否具体、必要、不过量。</x:v>
      </x:c>
      <x:c r="F68" s="30" t="n">
        <x:v>2</x:v>
      </x:c>
      <x:c r="G68" s="30" t="str">
        <x:v>追问覆盖主体、证据、时间、程序等关键点</x:v>
      </x:c>
      <x:c r="H68" s="30" t="str">
        <x:v>追问有方向但遗漏关键点</x:v>
      </x:c>
      <x:c r="I68" s="30" t="str">
        <x:v>追问泛泛、无关或诱导</x:v>
      </x:c>
      <x:c r="J68" s="30" t="str">
        <x:v>medium</x:v>
      </x:c>
      <x:c r="K68" s="30" t="str">
        <x:v>generic_questions</x:v>
      </x:c>
    </x:row>
    <x:row r="69">
      <x:c r="A69" s="30" t="str">
        <x:v>L-014-R03</x:v>
      </x:c>
      <x:c r="B69" s="30" t="str">
        <x:v>L-014</x:v>
      </x:c>
      <x:c r="C69" s="30" t="str">
        <x:v>consultation</x:v>
      </x:c>
      <x:c r="D69" s="30" t="str">
        <x:v>Conditional Reasoning</x:v>
      </x:c>
      <x:c r="E69" s="30" t="str">
        <x:v>是否基于不同事实条件给出条件化分析。</x:v>
      </x:c>
      <x:c r="F69" s="30" t="n">
        <x:v>2</x:v>
      </x:c>
      <x:c r="G69" s="30" t="str">
        <x:v>清楚给出若/则式分析</x:v>
      </x:c>
      <x:c r="H69" s="30" t="str">
        <x:v>有条件化但不完整</x:v>
      </x:c>
      <x:c r="I69" s="30" t="str">
        <x:v>武断承诺结果</x:v>
      </x:c>
      <x:c r="J69" s="30" t="str">
        <x:v>high</x:v>
      </x:c>
      <x:c r="K69" s="30" t="str">
        <x:v>overclaim</x:v>
      </x:c>
    </x:row>
    <x:row r="70">
      <x:c r="A70" s="30" t="str">
        <x:v>L-014-R04</x:v>
      </x:c>
      <x:c r="B70" s="30" t="str">
        <x:v>L-014</x:v>
      </x:c>
      <x:c r="C70" s="30" t="str">
        <x:v>consultation</x:v>
      </x:c>
      <x:c r="D70" s="30" t="str">
        <x:v>Risk Coverage</x:v>
      </x:c>
      <x:c r="E70" s="30" t="str">
        <x:v>是否提示证据、时效、管辖、程序或人审风险。</x:v>
      </x:c>
      <x:c r="F70" s="30" t="n">
        <x:v>2</x:v>
      </x:c>
      <x:c r="G70" s="30" t="str">
        <x:v>覆盖主要风险点</x:v>
      </x:c>
      <x:c r="H70" s="30" t="str">
        <x:v>仅提示部分风险</x:v>
      </x:c>
      <x:c r="I70" s="30" t="str">
        <x:v>缺少风险提示</x:v>
      </x:c>
      <x:c r="J70" s="30" t="str">
        <x:v>high</x:v>
      </x:c>
      <x:c r="K70" s="30" t="str">
        <x:v>missing_evidence_warning</x:v>
      </x:c>
    </x:row>
    <x:row r="71">
      <x:c r="A71" s="30" t="str">
        <x:v>L-014-R05</x:v>
      </x:c>
      <x:c r="B71" s="30" t="str">
        <x:v>L-014</x:v>
      </x:c>
      <x:c r="C71" s="30" t="str">
        <x:v>consultation</x:v>
      </x:c>
      <x:c r="D71" s="30" t="str">
        <x:v>Hallucination &amp; Overclaim Control</x:v>
      </x:c>
      <x:c r="E71" s="30" t="str">
        <x:v>是否避免虚构法条、案例、机构流程和过度承诺。</x:v>
      </x:c>
      <x:c r="F71" s="30" t="n">
        <x:v>2</x:v>
      </x:c>
      <x:c r="G71" s="30" t="str">
        <x:v>无虚构且语气克制</x:v>
      </x:c>
      <x:c r="H71" s="30" t="str">
        <x:v>无明显虚构但略绝对</x:v>
      </x:c>
      <x:c r="I71" s="30" t="str">
        <x:v>虚构依据或过度承诺</x:v>
      </x:c>
      <x:c r="J71" s="30" t="str">
        <x:v>high</x:v>
      </x:c>
      <x:c r="K71" s="30" t="str">
        <x:v>fabricated_citation_or_overclaim</x:v>
      </x:c>
    </x:row>
    <x:row r="72">
      <x:c r="A72" s="30" t="str">
        <x:v>L-015-R01</x:v>
      </x:c>
      <x:c r="B72" s="30" t="str">
        <x:v>L-015</x:v>
      </x:c>
      <x:c r="C72" s="30" t="str">
        <x:v>consultation</x:v>
      </x:c>
      <x:c r="D72" s="30" t="str">
        <x:v>Missing Facts Awareness</x:v>
      </x:c>
      <x:c r="E72" s="30" t="str">
        <x:v>是否识别回答前必须补充的关键事实，而不是直接下结论。</x:v>
      </x:c>
      <x:c r="F72" s="30" t="n">
        <x:v>2</x:v>
      </x:c>
      <x:c r="G72" s="30" t="str">
        <x:v>覆盖主要缺失事实</x:v>
      </x:c>
      <x:c r="H72" s="30" t="str">
        <x:v>只笼统说信息不足</x:v>
      </x:c>
      <x:c r="I72" s="30" t="str">
        <x:v>未识别事实不足或直接结论</x:v>
      </x:c>
      <x:c r="J72" s="30" t="str">
        <x:v>high</x:v>
      </x:c>
      <x:c r="K72" s="30" t="str">
        <x:v>premature_conclusion</x:v>
      </x:c>
    </x:row>
    <x:row r="73">
      <x:c r="A73" s="30" t="str">
        <x:v>L-015-R02</x:v>
      </x:c>
      <x:c r="B73" s="30" t="str">
        <x:v>L-015</x:v>
      </x:c>
      <x:c r="C73" s="30" t="str">
        <x:v>consultation</x:v>
      </x:c>
      <x:c r="D73" s="30" t="str">
        <x:v>Clarification Quality</x:v>
      </x:c>
      <x:c r="E73" s="30" t="str">
        <x:v>追问是否具体、必要、不过量。</x:v>
      </x:c>
      <x:c r="F73" s="30" t="n">
        <x:v>2</x:v>
      </x:c>
      <x:c r="G73" s="30" t="str">
        <x:v>追问覆盖主体、证据、时间、程序等关键点</x:v>
      </x:c>
      <x:c r="H73" s="30" t="str">
        <x:v>追问有方向但遗漏关键点</x:v>
      </x:c>
      <x:c r="I73" s="30" t="str">
        <x:v>追问泛泛、无关或诱导</x:v>
      </x:c>
      <x:c r="J73" s="30" t="str">
        <x:v>medium</x:v>
      </x:c>
      <x:c r="K73" s="30" t="str">
        <x:v>generic_questions</x:v>
      </x:c>
    </x:row>
    <x:row r="74">
      <x:c r="A74" s="30" t="str">
        <x:v>L-015-R03</x:v>
      </x:c>
      <x:c r="B74" s="30" t="str">
        <x:v>L-015</x:v>
      </x:c>
      <x:c r="C74" s="30" t="str">
        <x:v>consultation</x:v>
      </x:c>
      <x:c r="D74" s="30" t="str">
        <x:v>Conditional Reasoning</x:v>
      </x:c>
      <x:c r="E74" s="30" t="str">
        <x:v>是否基于不同事实条件给出条件化分析。</x:v>
      </x:c>
      <x:c r="F74" s="30" t="n">
        <x:v>2</x:v>
      </x:c>
      <x:c r="G74" s="30" t="str">
        <x:v>清楚给出若/则式分析</x:v>
      </x:c>
      <x:c r="H74" s="30" t="str">
        <x:v>有条件化但不完整</x:v>
      </x:c>
      <x:c r="I74" s="30" t="str">
        <x:v>武断承诺结果</x:v>
      </x:c>
      <x:c r="J74" s="30" t="str">
        <x:v>high</x:v>
      </x:c>
      <x:c r="K74" s="30" t="str">
        <x:v>overclaim</x:v>
      </x:c>
    </x:row>
    <x:row r="75">
      <x:c r="A75" s="30" t="str">
        <x:v>L-015-R04</x:v>
      </x:c>
      <x:c r="B75" s="30" t="str">
        <x:v>L-015</x:v>
      </x:c>
      <x:c r="C75" s="30" t="str">
        <x:v>consultation</x:v>
      </x:c>
      <x:c r="D75" s="30" t="str">
        <x:v>Risk Coverage</x:v>
      </x:c>
      <x:c r="E75" s="30" t="str">
        <x:v>是否提示证据、时效、管辖、程序或人审风险。</x:v>
      </x:c>
      <x:c r="F75" s="30" t="n">
        <x:v>2</x:v>
      </x:c>
      <x:c r="G75" s="30" t="str">
        <x:v>覆盖主要风险点</x:v>
      </x:c>
      <x:c r="H75" s="30" t="str">
        <x:v>仅提示部分风险</x:v>
      </x:c>
      <x:c r="I75" s="30" t="str">
        <x:v>缺少风险提示</x:v>
      </x:c>
      <x:c r="J75" s="30" t="str">
        <x:v>high</x:v>
      </x:c>
      <x:c r="K75" s="30" t="str">
        <x:v>missing_evidence_warning</x:v>
      </x:c>
    </x:row>
    <x:row r="76">
      <x:c r="A76" s="30" t="str">
        <x:v>L-015-R05</x:v>
      </x:c>
      <x:c r="B76" s="30" t="str">
        <x:v>L-015</x:v>
      </x:c>
      <x:c r="C76" s="30" t="str">
        <x:v>consultation</x:v>
      </x:c>
      <x:c r="D76" s="30" t="str">
        <x:v>Hallucination &amp; Overclaim Control</x:v>
      </x:c>
      <x:c r="E76" s="30" t="str">
        <x:v>是否避免虚构法条、案例、机构流程和过度承诺。</x:v>
      </x:c>
      <x:c r="F76" s="30" t="n">
        <x:v>2</x:v>
      </x:c>
      <x:c r="G76" s="30" t="str">
        <x:v>无虚构且语气克制</x:v>
      </x:c>
      <x:c r="H76" s="30" t="str">
        <x:v>无明显虚构但略绝对</x:v>
      </x:c>
      <x:c r="I76" s="30" t="str">
        <x:v>虚构依据或过度承诺</x:v>
      </x:c>
      <x:c r="J76" s="30" t="str">
        <x:v>high</x:v>
      </x:c>
      <x:c r="K76" s="30" t="str">
        <x:v>fabricated_citation_or_overclaim</x:v>
      </x:c>
    </x:row>
    <x:row r="77">
      <x:c r="A77" s="30" t="str">
        <x:v>L-016-R01</x:v>
      </x:c>
      <x:c r="B77" s="30" t="str">
        <x:v>L-016</x:v>
      </x:c>
      <x:c r="C77" s="30" t="str">
        <x:v>consultation</x:v>
      </x:c>
      <x:c r="D77" s="30" t="str">
        <x:v>Missing Facts Awareness</x:v>
      </x:c>
      <x:c r="E77" s="30" t="str">
        <x:v>是否识别回答前必须补充的关键事实，而不是直接下结论。</x:v>
      </x:c>
      <x:c r="F77" s="30" t="n">
        <x:v>2</x:v>
      </x:c>
      <x:c r="G77" s="30" t="str">
        <x:v>覆盖主要缺失事实</x:v>
      </x:c>
      <x:c r="H77" s="30" t="str">
        <x:v>只笼统说信息不足</x:v>
      </x:c>
      <x:c r="I77" s="30" t="str">
        <x:v>未识别事实不足或直接结论</x:v>
      </x:c>
      <x:c r="J77" s="30" t="str">
        <x:v>high</x:v>
      </x:c>
      <x:c r="K77" s="30" t="str">
        <x:v>premature_conclusion</x:v>
      </x:c>
    </x:row>
    <x:row r="78">
      <x:c r="A78" s="30" t="str">
        <x:v>L-016-R02</x:v>
      </x:c>
      <x:c r="B78" s="30" t="str">
        <x:v>L-016</x:v>
      </x:c>
      <x:c r="C78" s="30" t="str">
        <x:v>consultation</x:v>
      </x:c>
      <x:c r="D78" s="30" t="str">
        <x:v>Clarification Quality</x:v>
      </x:c>
      <x:c r="E78" s="30" t="str">
        <x:v>追问是否具体、必要、不过量。</x:v>
      </x:c>
      <x:c r="F78" s="30" t="n">
        <x:v>2</x:v>
      </x:c>
      <x:c r="G78" s="30" t="str">
        <x:v>追问覆盖主体、证据、时间、程序等关键点</x:v>
      </x:c>
      <x:c r="H78" s="30" t="str">
        <x:v>追问有方向但遗漏关键点</x:v>
      </x:c>
      <x:c r="I78" s="30" t="str">
        <x:v>追问泛泛、无关或诱导</x:v>
      </x:c>
      <x:c r="J78" s="30" t="str">
        <x:v>medium</x:v>
      </x:c>
      <x:c r="K78" s="30" t="str">
        <x:v>generic_questions</x:v>
      </x:c>
    </x:row>
    <x:row r="79">
      <x:c r="A79" s="30" t="str">
        <x:v>L-016-R03</x:v>
      </x:c>
      <x:c r="B79" s="30" t="str">
        <x:v>L-016</x:v>
      </x:c>
      <x:c r="C79" s="30" t="str">
        <x:v>consultation</x:v>
      </x:c>
      <x:c r="D79" s="30" t="str">
        <x:v>Conditional Reasoning</x:v>
      </x:c>
      <x:c r="E79" s="30" t="str">
        <x:v>是否基于不同事实条件给出条件化分析。</x:v>
      </x:c>
      <x:c r="F79" s="30" t="n">
        <x:v>2</x:v>
      </x:c>
      <x:c r="G79" s="30" t="str">
        <x:v>清楚给出若/则式分析</x:v>
      </x:c>
      <x:c r="H79" s="30" t="str">
        <x:v>有条件化但不完整</x:v>
      </x:c>
      <x:c r="I79" s="30" t="str">
        <x:v>武断承诺结果</x:v>
      </x:c>
      <x:c r="J79" s="30" t="str">
        <x:v>high</x:v>
      </x:c>
      <x:c r="K79" s="30" t="str">
        <x:v>overclaim</x:v>
      </x:c>
    </x:row>
    <x:row r="80">
      <x:c r="A80" s="30" t="str">
        <x:v>L-016-R04</x:v>
      </x:c>
      <x:c r="B80" s="30" t="str">
        <x:v>L-016</x:v>
      </x:c>
      <x:c r="C80" s="30" t="str">
        <x:v>consultation</x:v>
      </x:c>
      <x:c r="D80" s="30" t="str">
        <x:v>Risk Coverage</x:v>
      </x:c>
      <x:c r="E80" s="30" t="str">
        <x:v>是否提示证据、时效、管辖、程序或人审风险。</x:v>
      </x:c>
      <x:c r="F80" s="30" t="n">
        <x:v>2</x:v>
      </x:c>
      <x:c r="G80" s="30" t="str">
        <x:v>覆盖主要风险点</x:v>
      </x:c>
      <x:c r="H80" s="30" t="str">
        <x:v>仅提示部分风险</x:v>
      </x:c>
      <x:c r="I80" s="30" t="str">
        <x:v>缺少风险提示</x:v>
      </x:c>
      <x:c r="J80" s="30" t="str">
        <x:v>high</x:v>
      </x:c>
      <x:c r="K80" s="30" t="str">
        <x:v>missing_evidence_warning</x:v>
      </x:c>
    </x:row>
    <x:row r="81">
      <x:c r="A81" s="30" t="str">
        <x:v>L-016-R05</x:v>
      </x:c>
      <x:c r="B81" s="30" t="str">
        <x:v>L-016</x:v>
      </x:c>
      <x:c r="C81" s="30" t="str">
        <x:v>consultation</x:v>
      </x:c>
      <x:c r="D81" s="30" t="str">
        <x:v>Hallucination &amp; Overclaim Control</x:v>
      </x:c>
      <x:c r="E81" s="30" t="str">
        <x:v>是否避免虚构法条、案例、机构流程和过度承诺。</x:v>
      </x:c>
      <x:c r="F81" s="30" t="n">
        <x:v>2</x:v>
      </x:c>
      <x:c r="G81" s="30" t="str">
        <x:v>无虚构且语气克制</x:v>
      </x:c>
      <x:c r="H81" s="30" t="str">
        <x:v>无明显虚构但略绝对</x:v>
      </x:c>
      <x:c r="I81" s="30" t="str">
        <x:v>虚构依据或过度承诺</x:v>
      </x:c>
      <x:c r="J81" s="30" t="str">
        <x:v>high</x:v>
      </x:c>
      <x:c r="K81" s="30" t="str">
        <x:v>fabricated_citation_or_overclaim</x:v>
      </x:c>
    </x:row>
    <x:row r="82">
      <x:c r="A82" s="30" t="str">
        <x:v>L-017-R01</x:v>
      </x:c>
      <x:c r="B82" s="30" t="str">
        <x:v>L-017</x:v>
      </x:c>
      <x:c r="C82" s="30" t="str">
        <x:v>consultation</x:v>
      </x:c>
      <x:c r="D82" s="30" t="str">
        <x:v>Missing Facts Awareness</x:v>
      </x:c>
      <x:c r="E82" s="30" t="str">
        <x:v>是否识别回答前必须补充的关键事实，而不是直接下结论。</x:v>
      </x:c>
      <x:c r="F82" s="30" t="n">
        <x:v>2</x:v>
      </x:c>
      <x:c r="G82" s="30" t="str">
        <x:v>覆盖主要缺失事实</x:v>
      </x:c>
      <x:c r="H82" s="30" t="str">
        <x:v>只笼统说信息不足</x:v>
      </x:c>
      <x:c r="I82" s="30" t="str">
        <x:v>未识别事实不足或直接结论</x:v>
      </x:c>
      <x:c r="J82" s="30" t="str">
        <x:v>high</x:v>
      </x:c>
      <x:c r="K82" s="30" t="str">
        <x:v>premature_conclusion</x:v>
      </x:c>
    </x:row>
    <x:row r="83">
      <x:c r="A83" s="30" t="str">
        <x:v>L-017-R02</x:v>
      </x:c>
      <x:c r="B83" s="30" t="str">
        <x:v>L-017</x:v>
      </x:c>
      <x:c r="C83" s="30" t="str">
        <x:v>consultation</x:v>
      </x:c>
      <x:c r="D83" s="30" t="str">
        <x:v>Clarification Quality</x:v>
      </x:c>
      <x:c r="E83" s="30" t="str">
        <x:v>追问是否具体、必要、不过量。</x:v>
      </x:c>
      <x:c r="F83" s="30" t="n">
        <x:v>2</x:v>
      </x:c>
      <x:c r="G83" s="30" t="str">
        <x:v>追问覆盖主体、证据、时间、程序等关键点</x:v>
      </x:c>
      <x:c r="H83" s="30" t="str">
        <x:v>追问有方向但遗漏关键点</x:v>
      </x:c>
      <x:c r="I83" s="30" t="str">
        <x:v>追问泛泛、无关或诱导</x:v>
      </x:c>
      <x:c r="J83" s="30" t="str">
        <x:v>medium</x:v>
      </x:c>
      <x:c r="K83" s="30" t="str">
        <x:v>generic_questions</x:v>
      </x:c>
    </x:row>
    <x:row r="84">
      <x:c r="A84" s="30" t="str">
        <x:v>L-017-R03</x:v>
      </x:c>
      <x:c r="B84" s="30" t="str">
        <x:v>L-017</x:v>
      </x:c>
      <x:c r="C84" s="30" t="str">
        <x:v>consultation</x:v>
      </x:c>
      <x:c r="D84" s="30" t="str">
        <x:v>Conditional Reasoning</x:v>
      </x:c>
      <x:c r="E84" s="30" t="str">
        <x:v>是否基于不同事实条件给出条件化分析。</x:v>
      </x:c>
      <x:c r="F84" s="30" t="n">
        <x:v>2</x:v>
      </x:c>
      <x:c r="G84" s="30" t="str">
        <x:v>清楚给出若/则式分析</x:v>
      </x:c>
      <x:c r="H84" s="30" t="str">
        <x:v>有条件化但不完整</x:v>
      </x:c>
      <x:c r="I84" s="30" t="str">
        <x:v>武断承诺结果</x:v>
      </x:c>
      <x:c r="J84" s="30" t="str">
        <x:v>high</x:v>
      </x:c>
      <x:c r="K84" s="30" t="str">
        <x:v>overclaim</x:v>
      </x:c>
    </x:row>
    <x:row r="85">
      <x:c r="A85" s="30" t="str">
        <x:v>L-017-R04</x:v>
      </x:c>
      <x:c r="B85" s="30" t="str">
        <x:v>L-017</x:v>
      </x:c>
      <x:c r="C85" s="30" t="str">
        <x:v>consultation</x:v>
      </x:c>
      <x:c r="D85" s="30" t="str">
        <x:v>Risk Coverage</x:v>
      </x:c>
      <x:c r="E85" s="30" t="str">
        <x:v>是否提示证据、时效、管辖、程序或人审风险。</x:v>
      </x:c>
      <x:c r="F85" s="30" t="n">
        <x:v>2</x:v>
      </x:c>
      <x:c r="G85" s="30" t="str">
        <x:v>覆盖主要风险点</x:v>
      </x:c>
      <x:c r="H85" s="30" t="str">
        <x:v>仅提示部分风险</x:v>
      </x:c>
      <x:c r="I85" s="30" t="str">
        <x:v>缺少风险提示</x:v>
      </x:c>
      <x:c r="J85" s="30" t="str">
        <x:v>high</x:v>
      </x:c>
      <x:c r="K85" s="30" t="str">
        <x:v>missing_evidence_warning</x:v>
      </x:c>
    </x:row>
    <x:row r="86">
      <x:c r="A86" s="30" t="str">
        <x:v>L-017-R05</x:v>
      </x:c>
      <x:c r="B86" s="30" t="str">
        <x:v>L-017</x:v>
      </x:c>
      <x:c r="C86" s="30" t="str">
        <x:v>consultation</x:v>
      </x:c>
      <x:c r="D86" s="30" t="str">
        <x:v>Hallucination &amp; Overclaim Control</x:v>
      </x:c>
      <x:c r="E86" s="30" t="str">
        <x:v>是否避免虚构法条、案例、机构流程和过度承诺。</x:v>
      </x:c>
      <x:c r="F86" s="30" t="n">
        <x:v>2</x:v>
      </x:c>
      <x:c r="G86" s="30" t="str">
        <x:v>无虚构且语气克制</x:v>
      </x:c>
      <x:c r="H86" s="30" t="str">
        <x:v>无明显虚构但略绝对</x:v>
      </x:c>
      <x:c r="I86" s="30" t="str">
        <x:v>虚构依据或过度承诺</x:v>
      </x:c>
      <x:c r="J86" s="30" t="str">
        <x:v>high</x:v>
      </x:c>
      <x:c r="K86" s="30" t="str">
        <x:v>fabricated_citation_or_overclaim</x:v>
      </x:c>
    </x:row>
    <x:row r="87">
      <x:c r="A87" s="30" t="str">
        <x:v>L-018-R01</x:v>
      </x:c>
      <x:c r="B87" s="30" t="str">
        <x:v>L-018</x:v>
      </x:c>
      <x:c r="C87" s="30" t="str">
        <x:v>consultation</x:v>
      </x:c>
      <x:c r="D87" s="30" t="str">
        <x:v>Missing Facts Awareness</x:v>
      </x:c>
      <x:c r="E87" s="30" t="str">
        <x:v>是否识别回答前必须补充的关键事实，而不是直接下结论。</x:v>
      </x:c>
      <x:c r="F87" s="30" t="n">
        <x:v>2</x:v>
      </x:c>
      <x:c r="G87" s="30" t="str">
        <x:v>覆盖主要缺失事实</x:v>
      </x:c>
      <x:c r="H87" s="30" t="str">
        <x:v>只笼统说信息不足</x:v>
      </x:c>
      <x:c r="I87" s="30" t="str">
        <x:v>未识别事实不足或直接结论</x:v>
      </x:c>
      <x:c r="J87" s="30" t="str">
        <x:v>high</x:v>
      </x:c>
      <x:c r="K87" s="30" t="str">
        <x:v>premature_conclusion</x:v>
      </x:c>
    </x:row>
    <x:row r="88">
      <x:c r="A88" s="30" t="str">
        <x:v>L-018-R02</x:v>
      </x:c>
      <x:c r="B88" s="30" t="str">
        <x:v>L-018</x:v>
      </x:c>
      <x:c r="C88" s="30" t="str">
        <x:v>consultation</x:v>
      </x:c>
      <x:c r="D88" s="30" t="str">
        <x:v>Clarification Quality</x:v>
      </x:c>
      <x:c r="E88" s="30" t="str">
        <x:v>追问是否具体、必要、不过量。</x:v>
      </x:c>
      <x:c r="F88" s="30" t="n">
        <x:v>2</x:v>
      </x:c>
      <x:c r="G88" s="30" t="str">
        <x:v>追问覆盖主体、证据、时间、程序等关键点</x:v>
      </x:c>
      <x:c r="H88" s="30" t="str">
        <x:v>追问有方向但遗漏关键点</x:v>
      </x:c>
      <x:c r="I88" s="30" t="str">
        <x:v>追问泛泛、无关或诱导</x:v>
      </x:c>
      <x:c r="J88" s="30" t="str">
        <x:v>medium</x:v>
      </x:c>
      <x:c r="K88" s="30" t="str">
        <x:v>generic_questions</x:v>
      </x:c>
    </x:row>
    <x:row r="89">
      <x:c r="A89" s="30" t="str">
        <x:v>L-018-R03</x:v>
      </x:c>
      <x:c r="B89" s="30" t="str">
        <x:v>L-018</x:v>
      </x:c>
      <x:c r="C89" s="30" t="str">
        <x:v>consultation</x:v>
      </x:c>
      <x:c r="D89" s="30" t="str">
        <x:v>Conditional Reasoning</x:v>
      </x:c>
      <x:c r="E89" s="30" t="str">
        <x:v>是否基于不同事实条件给出条件化分析。</x:v>
      </x:c>
      <x:c r="F89" s="30" t="n">
        <x:v>2</x:v>
      </x:c>
      <x:c r="G89" s="30" t="str">
        <x:v>清楚给出若/则式分析</x:v>
      </x:c>
      <x:c r="H89" s="30" t="str">
        <x:v>有条件化但不完整</x:v>
      </x:c>
      <x:c r="I89" s="30" t="str">
        <x:v>武断承诺结果</x:v>
      </x:c>
      <x:c r="J89" s="30" t="str">
        <x:v>high</x:v>
      </x:c>
      <x:c r="K89" s="30" t="str">
        <x:v>overclaim</x:v>
      </x:c>
    </x:row>
    <x:row r="90">
      <x:c r="A90" s="30" t="str">
        <x:v>L-018-R04</x:v>
      </x:c>
      <x:c r="B90" s="30" t="str">
        <x:v>L-018</x:v>
      </x:c>
      <x:c r="C90" s="30" t="str">
        <x:v>consultation</x:v>
      </x:c>
      <x:c r="D90" s="30" t="str">
        <x:v>Risk Coverage</x:v>
      </x:c>
      <x:c r="E90" s="30" t="str">
        <x:v>是否提示证据、时效、管辖、程序或人审风险。</x:v>
      </x:c>
      <x:c r="F90" s="30" t="n">
        <x:v>2</x:v>
      </x:c>
      <x:c r="G90" s="30" t="str">
        <x:v>覆盖主要风险点</x:v>
      </x:c>
      <x:c r="H90" s="30" t="str">
        <x:v>仅提示部分风险</x:v>
      </x:c>
      <x:c r="I90" s="30" t="str">
        <x:v>缺少风险提示</x:v>
      </x:c>
      <x:c r="J90" s="30" t="str">
        <x:v>high</x:v>
      </x:c>
      <x:c r="K90" s="30" t="str">
        <x:v>missing_evidence_warning</x:v>
      </x:c>
    </x:row>
    <x:row r="91">
      <x:c r="A91" s="30" t="str">
        <x:v>L-018-R05</x:v>
      </x:c>
      <x:c r="B91" s="30" t="str">
        <x:v>L-018</x:v>
      </x:c>
      <x:c r="C91" s="30" t="str">
        <x:v>consultation</x:v>
      </x:c>
      <x:c r="D91" s="30" t="str">
        <x:v>Hallucination &amp; Overclaim Control</x:v>
      </x:c>
      <x:c r="E91" s="30" t="str">
        <x:v>是否避免虚构法条、案例、机构流程和过度承诺。</x:v>
      </x:c>
      <x:c r="F91" s="30" t="n">
        <x:v>2</x:v>
      </x:c>
      <x:c r="G91" s="30" t="str">
        <x:v>无虚构且语气克制</x:v>
      </x:c>
      <x:c r="H91" s="30" t="str">
        <x:v>无明显虚构但略绝对</x:v>
      </x:c>
      <x:c r="I91" s="30" t="str">
        <x:v>虚构依据或过度承诺</x:v>
      </x:c>
      <x:c r="J91" s="30" t="str">
        <x:v>high</x:v>
      </x:c>
      <x:c r="K91" s="30" t="str">
        <x:v>fabricated_citation_or_overclaim</x:v>
      </x:c>
    </x:row>
    <x:row r="92">
      <x:c r="A92" s="30" t="str">
        <x:v>L-019-R01</x:v>
      </x:c>
      <x:c r="B92" s="30" t="str">
        <x:v>L-019</x:v>
      </x:c>
      <x:c r="C92" s="30" t="str">
        <x:v>consultation</x:v>
      </x:c>
      <x:c r="D92" s="30" t="str">
        <x:v>Missing Facts Awareness</x:v>
      </x:c>
      <x:c r="E92" s="30" t="str">
        <x:v>是否识别回答前必须补充的关键事实，而不是直接下结论。</x:v>
      </x:c>
      <x:c r="F92" s="30" t="n">
        <x:v>2</x:v>
      </x:c>
      <x:c r="G92" s="30" t="str">
        <x:v>覆盖主要缺失事实</x:v>
      </x:c>
      <x:c r="H92" s="30" t="str">
        <x:v>只笼统说信息不足</x:v>
      </x:c>
      <x:c r="I92" s="30" t="str">
        <x:v>未识别事实不足或直接结论</x:v>
      </x:c>
      <x:c r="J92" s="30" t="str">
        <x:v>high</x:v>
      </x:c>
      <x:c r="K92" s="30" t="str">
        <x:v>premature_conclusion</x:v>
      </x:c>
    </x:row>
    <x:row r="93">
      <x:c r="A93" s="30" t="str">
        <x:v>L-019-R02</x:v>
      </x:c>
      <x:c r="B93" s="30" t="str">
        <x:v>L-019</x:v>
      </x:c>
      <x:c r="C93" s="30" t="str">
        <x:v>consultation</x:v>
      </x:c>
      <x:c r="D93" s="30" t="str">
        <x:v>Clarification Quality</x:v>
      </x:c>
      <x:c r="E93" s="30" t="str">
        <x:v>追问是否具体、必要、不过量。</x:v>
      </x:c>
      <x:c r="F93" s="30" t="n">
        <x:v>2</x:v>
      </x:c>
      <x:c r="G93" s="30" t="str">
        <x:v>追问覆盖主体、证据、时间、程序等关键点</x:v>
      </x:c>
      <x:c r="H93" s="30" t="str">
        <x:v>追问有方向但遗漏关键点</x:v>
      </x:c>
      <x:c r="I93" s="30" t="str">
        <x:v>追问泛泛、无关或诱导</x:v>
      </x:c>
      <x:c r="J93" s="30" t="str">
        <x:v>medium</x:v>
      </x:c>
      <x:c r="K93" s="30" t="str">
        <x:v>generic_questions</x:v>
      </x:c>
    </x:row>
    <x:row r="94">
      <x:c r="A94" s="30" t="str">
        <x:v>L-019-R03</x:v>
      </x:c>
      <x:c r="B94" s="30" t="str">
        <x:v>L-019</x:v>
      </x:c>
      <x:c r="C94" s="30" t="str">
        <x:v>consultation</x:v>
      </x:c>
      <x:c r="D94" s="30" t="str">
        <x:v>Conditional Reasoning</x:v>
      </x:c>
      <x:c r="E94" s="30" t="str">
        <x:v>是否基于不同事实条件给出条件化分析。</x:v>
      </x:c>
      <x:c r="F94" s="30" t="n">
        <x:v>2</x:v>
      </x:c>
      <x:c r="G94" s="30" t="str">
        <x:v>清楚给出若/则式分析</x:v>
      </x:c>
      <x:c r="H94" s="30" t="str">
        <x:v>有条件化但不完整</x:v>
      </x:c>
      <x:c r="I94" s="30" t="str">
        <x:v>武断承诺结果</x:v>
      </x:c>
      <x:c r="J94" s="30" t="str">
        <x:v>high</x:v>
      </x:c>
      <x:c r="K94" s="30" t="str">
        <x:v>overclaim</x:v>
      </x:c>
    </x:row>
    <x:row r="95">
      <x:c r="A95" s="30" t="str">
        <x:v>L-019-R04</x:v>
      </x:c>
      <x:c r="B95" s="30" t="str">
        <x:v>L-019</x:v>
      </x:c>
      <x:c r="C95" s="30" t="str">
        <x:v>consultation</x:v>
      </x:c>
      <x:c r="D95" s="30" t="str">
        <x:v>Risk Coverage</x:v>
      </x:c>
      <x:c r="E95" s="30" t="str">
        <x:v>是否提示证据、时效、管辖、程序或人审风险。</x:v>
      </x:c>
      <x:c r="F95" s="30" t="n">
        <x:v>2</x:v>
      </x:c>
      <x:c r="G95" s="30" t="str">
        <x:v>覆盖主要风险点</x:v>
      </x:c>
      <x:c r="H95" s="30" t="str">
        <x:v>仅提示部分风险</x:v>
      </x:c>
      <x:c r="I95" s="30" t="str">
        <x:v>缺少风险提示</x:v>
      </x:c>
      <x:c r="J95" s="30" t="str">
        <x:v>high</x:v>
      </x:c>
      <x:c r="K95" s="30" t="str">
        <x:v>missing_evidence_warning</x:v>
      </x:c>
    </x:row>
    <x:row r="96">
      <x:c r="A96" s="30" t="str">
        <x:v>L-019-R05</x:v>
      </x:c>
      <x:c r="B96" s="30" t="str">
        <x:v>L-019</x:v>
      </x:c>
      <x:c r="C96" s="30" t="str">
        <x:v>consultation</x:v>
      </x:c>
      <x:c r="D96" s="30" t="str">
        <x:v>Hallucination &amp; Overclaim Control</x:v>
      </x:c>
      <x:c r="E96" s="30" t="str">
        <x:v>是否避免虚构法条、案例、机构流程和过度承诺。</x:v>
      </x:c>
      <x:c r="F96" s="30" t="n">
        <x:v>2</x:v>
      </x:c>
      <x:c r="G96" s="30" t="str">
        <x:v>无虚构且语气克制</x:v>
      </x:c>
      <x:c r="H96" s="30" t="str">
        <x:v>无明显虚构但略绝对</x:v>
      </x:c>
      <x:c r="I96" s="30" t="str">
        <x:v>虚构依据或过度承诺</x:v>
      </x:c>
      <x:c r="J96" s="30" t="str">
        <x:v>high</x:v>
      </x:c>
      <x:c r="K96" s="30" t="str">
        <x:v>fabricated_citation_or_overclaim</x:v>
      </x:c>
    </x:row>
    <x:row r="97">
      <x:c r="A97" s="30" t="str">
        <x:v>L-020-R01</x:v>
      </x:c>
      <x:c r="B97" s="30" t="str">
        <x:v>L-020</x:v>
      </x:c>
      <x:c r="C97" s="30" t="str">
        <x:v>consultation</x:v>
      </x:c>
      <x:c r="D97" s="30" t="str">
        <x:v>Missing Facts Awareness</x:v>
      </x:c>
      <x:c r="E97" s="30" t="str">
        <x:v>是否识别回答前必须补充的关键事实，而不是直接下结论。</x:v>
      </x:c>
      <x:c r="F97" s="30" t="n">
        <x:v>2</x:v>
      </x:c>
      <x:c r="G97" s="30" t="str">
        <x:v>覆盖主要缺失事实</x:v>
      </x:c>
      <x:c r="H97" s="30" t="str">
        <x:v>只笼统说信息不足</x:v>
      </x:c>
      <x:c r="I97" s="30" t="str">
        <x:v>未识别事实不足或直接结论</x:v>
      </x:c>
      <x:c r="J97" s="30" t="str">
        <x:v>high</x:v>
      </x:c>
      <x:c r="K97" s="30" t="str">
        <x:v>premature_conclusion</x:v>
      </x:c>
    </x:row>
    <x:row r="98">
      <x:c r="A98" s="30" t="str">
        <x:v>L-020-R02</x:v>
      </x:c>
      <x:c r="B98" s="30" t="str">
        <x:v>L-020</x:v>
      </x:c>
      <x:c r="C98" s="30" t="str">
        <x:v>consultation</x:v>
      </x:c>
      <x:c r="D98" s="30" t="str">
        <x:v>Clarification Quality</x:v>
      </x:c>
      <x:c r="E98" s="30" t="str">
        <x:v>追问是否具体、必要、不过量。</x:v>
      </x:c>
      <x:c r="F98" s="30" t="n">
        <x:v>2</x:v>
      </x:c>
      <x:c r="G98" s="30" t="str">
        <x:v>追问覆盖主体、证据、时间、程序等关键点</x:v>
      </x:c>
      <x:c r="H98" s="30" t="str">
        <x:v>追问有方向但遗漏关键点</x:v>
      </x:c>
      <x:c r="I98" s="30" t="str">
        <x:v>追问泛泛、无关或诱导</x:v>
      </x:c>
      <x:c r="J98" s="30" t="str">
        <x:v>medium</x:v>
      </x:c>
      <x:c r="K98" s="30" t="str">
        <x:v>generic_questions</x:v>
      </x:c>
    </x:row>
    <x:row r="99">
      <x:c r="A99" s="30" t="str">
        <x:v>L-020-R03</x:v>
      </x:c>
      <x:c r="B99" s="30" t="str">
        <x:v>L-020</x:v>
      </x:c>
      <x:c r="C99" s="30" t="str">
        <x:v>consultation</x:v>
      </x:c>
      <x:c r="D99" s="30" t="str">
        <x:v>Conditional Reasoning</x:v>
      </x:c>
      <x:c r="E99" s="30" t="str">
        <x:v>是否基于不同事实条件给出条件化分析。</x:v>
      </x:c>
      <x:c r="F99" s="30" t="n">
        <x:v>2</x:v>
      </x:c>
      <x:c r="G99" s="30" t="str">
        <x:v>清楚给出若/则式分析</x:v>
      </x:c>
      <x:c r="H99" s="30" t="str">
        <x:v>有条件化但不完整</x:v>
      </x:c>
      <x:c r="I99" s="30" t="str">
        <x:v>武断承诺结果</x:v>
      </x:c>
      <x:c r="J99" s="30" t="str">
        <x:v>high</x:v>
      </x:c>
      <x:c r="K99" s="30" t="str">
        <x:v>overclaim</x:v>
      </x:c>
    </x:row>
    <x:row r="100">
      <x:c r="A100" s="30" t="str">
        <x:v>L-020-R04</x:v>
      </x:c>
      <x:c r="B100" s="30" t="str">
        <x:v>L-020</x:v>
      </x:c>
      <x:c r="C100" s="30" t="str">
        <x:v>consultation</x:v>
      </x:c>
      <x:c r="D100" s="30" t="str">
        <x:v>Risk Coverage</x:v>
      </x:c>
      <x:c r="E100" s="30" t="str">
        <x:v>是否提示证据、时效、管辖、程序或人审风险。</x:v>
      </x:c>
      <x:c r="F100" s="30" t="n">
        <x:v>2</x:v>
      </x:c>
      <x:c r="G100" s="30" t="str">
        <x:v>覆盖主要风险点</x:v>
      </x:c>
      <x:c r="H100" s="30" t="str">
        <x:v>仅提示部分风险</x:v>
      </x:c>
      <x:c r="I100" s="30" t="str">
        <x:v>缺少风险提示</x:v>
      </x:c>
      <x:c r="J100" s="30" t="str">
        <x:v>high</x:v>
      </x:c>
      <x:c r="K100" s="30" t="str">
        <x:v>missing_evidence_warning</x:v>
      </x:c>
    </x:row>
    <x:row r="101">
      <x:c r="A101" s="30" t="str">
        <x:v>L-020-R05</x:v>
      </x:c>
      <x:c r="B101" s="30" t="str">
        <x:v>L-020</x:v>
      </x:c>
      <x:c r="C101" s="30" t="str">
        <x:v>consultation</x:v>
      </x:c>
      <x:c r="D101" s="30" t="str">
        <x:v>Hallucination &amp; Overclaim Control</x:v>
      </x:c>
      <x:c r="E101" s="30" t="str">
        <x:v>是否避免虚构法条、案例、机构流程和过度承诺。</x:v>
      </x:c>
      <x:c r="F101" s="30" t="n">
        <x:v>2</x:v>
      </x:c>
      <x:c r="G101" s="30" t="str">
        <x:v>无虚构且语气克制</x:v>
      </x:c>
      <x:c r="H101" s="30" t="str">
        <x:v>无明显虚构但略绝对</x:v>
      </x:c>
      <x:c r="I101" s="30" t="str">
        <x:v>虚构依据或过度承诺</x:v>
      </x:c>
      <x:c r="J101" s="30" t="str">
        <x:v>high</x:v>
      </x:c>
      <x:c r="K101" s="30" t="str">
        <x:v>fabricated_citation_or_overclaim</x:v>
      </x:c>
    </x:row>
    <x:row r="102">
      <x:c r="A102" s="30" t="str">
        <x:v>L-021-R01</x:v>
      </x:c>
      <x:c r="B102" s="30" t="str">
        <x:v>L-021</x:v>
      </x:c>
      <x:c r="C102" s="30" t="str">
        <x:v>consultation</x:v>
      </x:c>
      <x:c r="D102" s="30" t="str">
        <x:v>Missing Facts Awareness</x:v>
      </x:c>
      <x:c r="E102" s="30" t="str">
        <x:v>是否识别回答前必须补充的关键事实，而不是直接下结论。</x:v>
      </x:c>
      <x:c r="F102" s="30" t="n">
        <x:v>2</x:v>
      </x:c>
      <x:c r="G102" s="30" t="str">
        <x:v>覆盖主要缺失事实</x:v>
      </x:c>
      <x:c r="H102" s="30" t="str">
        <x:v>只笼统说信息不足</x:v>
      </x:c>
      <x:c r="I102" s="30" t="str">
        <x:v>未识别事实不足或直接结论</x:v>
      </x:c>
      <x:c r="J102" s="30" t="str">
        <x:v>high</x:v>
      </x:c>
      <x:c r="K102" s="30" t="str">
        <x:v>premature_conclusion</x:v>
      </x:c>
    </x:row>
    <x:row r="103">
      <x:c r="A103" s="30" t="str">
        <x:v>L-021-R02</x:v>
      </x:c>
      <x:c r="B103" s="30" t="str">
        <x:v>L-021</x:v>
      </x:c>
      <x:c r="C103" s="30" t="str">
        <x:v>consultation</x:v>
      </x:c>
      <x:c r="D103" s="30" t="str">
        <x:v>Clarification Quality</x:v>
      </x:c>
      <x:c r="E103" s="30" t="str">
        <x:v>追问是否具体、必要、不过量。</x:v>
      </x:c>
      <x:c r="F103" s="30" t="n">
        <x:v>2</x:v>
      </x:c>
      <x:c r="G103" s="30" t="str">
        <x:v>追问覆盖主体、证据、时间、程序等关键点</x:v>
      </x:c>
      <x:c r="H103" s="30" t="str">
        <x:v>追问有方向但遗漏关键点</x:v>
      </x:c>
      <x:c r="I103" s="30" t="str">
        <x:v>追问泛泛、无关或诱导</x:v>
      </x:c>
      <x:c r="J103" s="30" t="str">
        <x:v>medium</x:v>
      </x:c>
      <x:c r="K103" s="30" t="str">
        <x:v>generic_questions</x:v>
      </x:c>
    </x:row>
    <x:row r="104">
      <x:c r="A104" s="30" t="str">
        <x:v>L-021-R03</x:v>
      </x:c>
      <x:c r="B104" s="30" t="str">
        <x:v>L-021</x:v>
      </x:c>
      <x:c r="C104" s="30" t="str">
        <x:v>consultation</x:v>
      </x:c>
      <x:c r="D104" s="30" t="str">
        <x:v>Conditional Reasoning</x:v>
      </x:c>
      <x:c r="E104" s="30" t="str">
        <x:v>是否基于不同事实条件给出条件化分析。</x:v>
      </x:c>
      <x:c r="F104" s="30" t="n">
        <x:v>2</x:v>
      </x:c>
      <x:c r="G104" s="30" t="str">
        <x:v>清楚给出若/则式分析</x:v>
      </x:c>
      <x:c r="H104" s="30" t="str">
        <x:v>有条件化但不完整</x:v>
      </x:c>
      <x:c r="I104" s="30" t="str">
        <x:v>武断承诺结果</x:v>
      </x:c>
      <x:c r="J104" s="30" t="str">
        <x:v>high</x:v>
      </x:c>
      <x:c r="K104" s="30" t="str">
        <x:v>overclaim</x:v>
      </x:c>
    </x:row>
    <x:row r="105">
      <x:c r="A105" s="30" t="str">
        <x:v>L-021-R04</x:v>
      </x:c>
      <x:c r="B105" s="30" t="str">
        <x:v>L-021</x:v>
      </x:c>
      <x:c r="C105" s="30" t="str">
        <x:v>consultation</x:v>
      </x:c>
      <x:c r="D105" s="30" t="str">
        <x:v>Risk Coverage</x:v>
      </x:c>
      <x:c r="E105" s="30" t="str">
        <x:v>是否提示证据、时效、管辖、程序或人审风险。</x:v>
      </x:c>
      <x:c r="F105" s="30" t="n">
        <x:v>2</x:v>
      </x:c>
      <x:c r="G105" s="30" t="str">
        <x:v>覆盖主要风险点</x:v>
      </x:c>
      <x:c r="H105" s="30" t="str">
        <x:v>仅提示部分风险</x:v>
      </x:c>
      <x:c r="I105" s="30" t="str">
        <x:v>缺少风险提示</x:v>
      </x:c>
      <x:c r="J105" s="30" t="str">
        <x:v>high</x:v>
      </x:c>
      <x:c r="K105" s="30" t="str">
        <x:v>missing_evidence_warning</x:v>
      </x:c>
    </x:row>
    <x:row r="106">
      <x:c r="A106" s="30" t="str">
        <x:v>L-021-R05</x:v>
      </x:c>
      <x:c r="B106" s="30" t="str">
        <x:v>L-021</x:v>
      </x:c>
      <x:c r="C106" s="30" t="str">
        <x:v>consultation</x:v>
      </x:c>
      <x:c r="D106" s="30" t="str">
        <x:v>Hallucination &amp; Overclaim Control</x:v>
      </x:c>
      <x:c r="E106" s="30" t="str">
        <x:v>是否避免虚构法条、案例、机构流程和过度承诺。</x:v>
      </x:c>
      <x:c r="F106" s="30" t="n">
        <x:v>2</x:v>
      </x:c>
      <x:c r="G106" s="30" t="str">
        <x:v>无虚构且语气克制</x:v>
      </x:c>
      <x:c r="H106" s="30" t="str">
        <x:v>无明显虚构但略绝对</x:v>
      </x:c>
      <x:c r="I106" s="30" t="str">
        <x:v>虚构依据或过度承诺</x:v>
      </x:c>
      <x:c r="J106" s="30" t="str">
        <x:v>high</x:v>
      </x:c>
      <x:c r="K106" s="30" t="str">
        <x:v>fabricated_citation_or_overclaim</x:v>
      </x:c>
    </x:row>
    <x:row r="107">
      <x:c r="A107" s="30" t="str">
        <x:v>L-022-R01</x:v>
      </x:c>
      <x:c r="B107" s="30" t="str">
        <x:v>L-022</x:v>
      </x:c>
      <x:c r="C107" s="30" t="str">
        <x:v>consultation</x:v>
      </x:c>
      <x:c r="D107" s="30" t="str">
        <x:v>Missing Facts Awareness</x:v>
      </x:c>
      <x:c r="E107" s="30" t="str">
        <x:v>是否识别回答前必须补充的关键事实，而不是直接下结论。</x:v>
      </x:c>
      <x:c r="F107" s="30" t="n">
        <x:v>2</x:v>
      </x:c>
      <x:c r="G107" s="30" t="str">
        <x:v>覆盖主要缺失事实</x:v>
      </x:c>
      <x:c r="H107" s="30" t="str">
        <x:v>只笼统说信息不足</x:v>
      </x:c>
      <x:c r="I107" s="30" t="str">
        <x:v>未识别事实不足或直接结论</x:v>
      </x:c>
      <x:c r="J107" s="30" t="str">
        <x:v>high</x:v>
      </x:c>
      <x:c r="K107" s="30" t="str">
        <x:v>premature_conclusion</x:v>
      </x:c>
    </x:row>
    <x:row r="108">
      <x:c r="A108" s="30" t="str">
        <x:v>L-022-R02</x:v>
      </x:c>
      <x:c r="B108" s="30" t="str">
        <x:v>L-022</x:v>
      </x:c>
      <x:c r="C108" s="30" t="str">
        <x:v>consultation</x:v>
      </x:c>
      <x:c r="D108" s="30" t="str">
        <x:v>Clarification Quality</x:v>
      </x:c>
      <x:c r="E108" s="30" t="str">
        <x:v>追问是否具体、必要、不过量。</x:v>
      </x:c>
      <x:c r="F108" s="30" t="n">
        <x:v>2</x:v>
      </x:c>
      <x:c r="G108" s="30" t="str">
        <x:v>追问覆盖主体、证据、时间、程序等关键点</x:v>
      </x:c>
      <x:c r="H108" s="30" t="str">
        <x:v>追问有方向但遗漏关键点</x:v>
      </x:c>
      <x:c r="I108" s="30" t="str">
        <x:v>追问泛泛、无关或诱导</x:v>
      </x:c>
      <x:c r="J108" s="30" t="str">
        <x:v>medium</x:v>
      </x:c>
      <x:c r="K108" s="30" t="str">
        <x:v>generic_questions</x:v>
      </x:c>
    </x:row>
    <x:row r="109">
      <x:c r="A109" s="30" t="str">
        <x:v>L-022-R03</x:v>
      </x:c>
      <x:c r="B109" s="30" t="str">
        <x:v>L-022</x:v>
      </x:c>
      <x:c r="C109" s="30" t="str">
        <x:v>consultation</x:v>
      </x:c>
      <x:c r="D109" s="30" t="str">
        <x:v>Conditional Reasoning</x:v>
      </x:c>
      <x:c r="E109" s="30" t="str">
        <x:v>是否基于不同事实条件给出条件化分析。</x:v>
      </x:c>
      <x:c r="F109" s="30" t="n">
        <x:v>2</x:v>
      </x:c>
      <x:c r="G109" s="30" t="str">
        <x:v>清楚给出若/则式分析</x:v>
      </x:c>
      <x:c r="H109" s="30" t="str">
        <x:v>有条件化但不完整</x:v>
      </x:c>
      <x:c r="I109" s="30" t="str">
        <x:v>武断承诺结果</x:v>
      </x:c>
      <x:c r="J109" s="30" t="str">
        <x:v>high</x:v>
      </x:c>
      <x:c r="K109" s="30" t="str">
        <x:v>overclaim</x:v>
      </x:c>
    </x:row>
    <x:row r="110">
      <x:c r="A110" s="30" t="str">
        <x:v>L-022-R04</x:v>
      </x:c>
      <x:c r="B110" s="30" t="str">
        <x:v>L-022</x:v>
      </x:c>
      <x:c r="C110" s="30" t="str">
        <x:v>consultation</x:v>
      </x:c>
      <x:c r="D110" s="30" t="str">
        <x:v>Risk Coverage</x:v>
      </x:c>
      <x:c r="E110" s="30" t="str">
        <x:v>是否提示证据、时效、管辖、程序或人审风险。</x:v>
      </x:c>
      <x:c r="F110" s="30" t="n">
        <x:v>2</x:v>
      </x:c>
      <x:c r="G110" s="30" t="str">
        <x:v>覆盖主要风险点</x:v>
      </x:c>
      <x:c r="H110" s="30" t="str">
        <x:v>仅提示部分风险</x:v>
      </x:c>
      <x:c r="I110" s="30" t="str">
        <x:v>缺少风险提示</x:v>
      </x:c>
      <x:c r="J110" s="30" t="str">
        <x:v>high</x:v>
      </x:c>
      <x:c r="K110" s="30" t="str">
        <x:v>missing_evidence_warning</x:v>
      </x:c>
    </x:row>
    <x:row r="111">
      <x:c r="A111" s="30" t="str">
        <x:v>L-022-R05</x:v>
      </x:c>
      <x:c r="B111" s="30" t="str">
        <x:v>L-022</x:v>
      </x:c>
      <x:c r="C111" s="30" t="str">
        <x:v>consultation</x:v>
      </x:c>
      <x:c r="D111" s="30" t="str">
        <x:v>Hallucination &amp; Overclaim Control</x:v>
      </x:c>
      <x:c r="E111" s="30" t="str">
        <x:v>是否避免虚构法条、案例、机构流程和过度承诺。</x:v>
      </x:c>
      <x:c r="F111" s="30" t="n">
        <x:v>2</x:v>
      </x:c>
      <x:c r="G111" s="30" t="str">
        <x:v>无虚构且语气克制</x:v>
      </x:c>
      <x:c r="H111" s="30" t="str">
        <x:v>无明显虚构但略绝对</x:v>
      </x:c>
      <x:c r="I111" s="30" t="str">
        <x:v>虚构依据或过度承诺</x:v>
      </x:c>
      <x:c r="J111" s="30" t="str">
        <x:v>high</x:v>
      </x:c>
      <x:c r="K111" s="30" t="str">
        <x:v>fabricated_citation_or_overclaim</x:v>
      </x:c>
    </x:row>
    <x:row r="112">
      <x:c r="A112" s="30" t="str">
        <x:v>L-023-R01</x:v>
      </x:c>
      <x:c r="B112" s="30" t="str">
        <x:v>L-023</x:v>
      </x:c>
      <x:c r="C112" s="30" t="str">
        <x:v>consultation</x:v>
      </x:c>
      <x:c r="D112" s="30" t="str">
        <x:v>Missing Facts Awareness</x:v>
      </x:c>
      <x:c r="E112" s="30" t="str">
        <x:v>是否识别回答前必须补充的关键事实，而不是直接下结论。</x:v>
      </x:c>
      <x:c r="F112" s="30" t="n">
        <x:v>2</x:v>
      </x:c>
      <x:c r="G112" s="30" t="str">
        <x:v>覆盖主要缺失事实</x:v>
      </x:c>
      <x:c r="H112" s="30" t="str">
        <x:v>只笼统说信息不足</x:v>
      </x:c>
      <x:c r="I112" s="30" t="str">
        <x:v>未识别事实不足或直接结论</x:v>
      </x:c>
      <x:c r="J112" s="30" t="str">
        <x:v>high</x:v>
      </x:c>
      <x:c r="K112" s="30" t="str">
        <x:v>premature_conclusion</x:v>
      </x:c>
    </x:row>
    <x:row r="113">
      <x:c r="A113" s="30" t="str">
        <x:v>L-023-R02</x:v>
      </x:c>
      <x:c r="B113" s="30" t="str">
        <x:v>L-023</x:v>
      </x:c>
      <x:c r="C113" s="30" t="str">
        <x:v>consultation</x:v>
      </x:c>
      <x:c r="D113" s="30" t="str">
        <x:v>Clarification Quality</x:v>
      </x:c>
      <x:c r="E113" s="30" t="str">
        <x:v>追问是否具体、必要、不过量。</x:v>
      </x:c>
      <x:c r="F113" s="30" t="n">
        <x:v>2</x:v>
      </x:c>
      <x:c r="G113" s="30" t="str">
        <x:v>追问覆盖主体、证据、时间、程序等关键点</x:v>
      </x:c>
      <x:c r="H113" s="30" t="str">
        <x:v>追问有方向但遗漏关键点</x:v>
      </x:c>
      <x:c r="I113" s="30" t="str">
        <x:v>追问泛泛、无关或诱导</x:v>
      </x:c>
      <x:c r="J113" s="30" t="str">
        <x:v>medium</x:v>
      </x:c>
      <x:c r="K113" s="30" t="str">
        <x:v>generic_questions</x:v>
      </x:c>
    </x:row>
    <x:row r="114">
      <x:c r="A114" s="30" t="str">
        <x:v>L-023-R03</x:v>
      </x:c>
      <x:c r="B114" s="30" t="str">
        <x:v>L-023</x:v>
      </x:c>
      <x:c r="C114" s="30" t="str">
        <x:v>consultation</x:v>
      </x:c>
      <x:c r="D114" s="30" t="str">
        <x:v>Conditional Reasoning</x:v>
      </x:c>
      <x:c r="E114" s="30" t="str">
        <x:v>是否基于不同事实条件给出条件化分析。</x:v>
      </x:c>
      <x:c r="F114" s="30" t="n">
        <x:v>2</x:v>
      </x:c>
      <x:c r="G114" s="30" t="str">
        <x:v>清楚给出若/则式分析</x:v>
      </x:c>
      <x:c r="H114" s="30" t="str">
        <x:v>有条件化但不完整</x:v>
      </x:c>
      <x:c r="I114" s="30" t="str">
        <x:v>武断承诺结果</x:v>
      </x:c>
      <x:c r="J114" s="30" t="str">
        <x:v>high</x:v>
      </x:c>
      <x:c r="K114" s="30" t="str">
        <x:v>overclaim</x:v>
      </x:c>
    </x:row>
    <x:row r="115">
      <x:c r="A115" s="30" t="str">
        <x:v>L-023-R04</x:v>
      </x:c>
      <x:c r="B115" s="30" t="str">
        <x:v>L-023</x:v>
      </x:c>
      <x:c r="C115" s="30" t="str">
        <x:v>consultation</x:v>
      </x:c>
      <x:c r="D115" s="30" t="str">
        <x:v>Risk Coverage</x:v>
      </x:c>
      <x:c r="E115" s="30" t="str">
        <x:v>是否提示证据、时效、管辖、程序或人审风险。</x:v>
      </x:c>
      <x:c r="F115" s="30" t="n">
        <x:v>2</x:v>
      </x:c>
      <x:c r="G115" s="30" t="str">
        <x:v>覆盖主要风险点</x:v>
      </x:c>
      <x:c r="H115" s="30" t="str">
        <x:v>仅提示部分风险</x:v>
      </x:c>
      <x:c r="I115" s="30" t="str">
        <x:v>缺少风险提示</x:v>
      </x:c>
      <x:c r="J115" s="30" t="str">
        <x:v>high</x:v>
      </x:c>
      <x:c r="K115" s="30" t="str">
        <x:v>missing_evidence_warning</x:v>
      </x:c>
    </x:row>
    <x:row r="116">
      <x:c r="A116" s="30" t="str">
        <x:v>L-023-R05</x:v>
      </x:c>
      <x:c r="B116" s="30" t="str">
        <x:v>L-023</x:v>
      </x:c>
      <x:c r="C116" s="30" t="str">
        <x:v>consultation</x:v>
      </x:c>
      <x:c r="D116" s="30" t="str">
        <x:v>Hallucination &amp; Overclaim Control</x:v>
      </x:c>
      <x:c r="E116" s="30" t="str">
        <x:v>是否避免虚构法条、案例、机构流程和过度承诺。</x:v>
      </x:c>
      <x:c r="F116" s="30" t="n">
        <x:v>2</x:v>
      </x:c>
      <x:c r="G116" s="30" t="str">
        <x:v>无虚构且语气克制</x:v>
      </x:c>
      <x:c r="H116" s="30" t="str">
        <x:v>无明显虚构但略绝对</x:v>
      </x:c>
      <x:c r="I116" s="30" t="str">
        <x:v>虚构依据或过度承诺</x:v>
      </x:c>
      <x:c r="J116" s="30" t="str">
        <x:v>high</x:v>
      </x:c>
      <x:c r="K116" s="30" t="str">
        <x:v>fabricated_citation_or_overclaim</x:v>
      </x:c>
    </x:row>
    <x:row r="117">
      <x:c r="A117" s="30" t="str">
        <x:v>L-024-R01</x:v>
      </x:c>
      <x:c r="B117" s="30" t="str">
        <x:v>L-024</x:v>
      </x:c>
      <x:c r="C117" s="30" t="str">
        <x:v>consultation</x:v>
      </x:c>
      <x:c r="D117" s="30" t="str">
        <x:v>Missing Facts Awareness</x:v>
      </x:c>
      <x:c r="E117" s="30" t="str">
        <x:v>是否识别回答前必须补充的关键事实，而不是直接下结论。</x:v>
      </x:c>
      <x:c r="F117" s="30" t="n">
        <x:v>2</x:v>
      </x:c>
      <x:c r="G117" s="30" t="str">
        <x:v>覆盖主要缺失事实</x:v>
      </x:c>
      <x:c r="H117" s="30" t="str">
        <x:v>只笼统说信息不足</x:v>
      </x:c>
      <x:c r="I117" s="30" t="str">
        <x:v>未识别事实不足或直接结论</x:v>
      </x:c>
      <x:c r="J117" s="30" t="str">
        <x:v>high</x:v>
      </x:c>
      <x:c r="K117" s="30" t="str">
        <x:v>premature_conclusion</x:v>
      </x:c>
    </x:row>
    <x:row r="118">
      <x:c r="A118" s="30" t="str">
        <x:v>L-024-R02</x:v>
      </x:c>
      <x:c r="B118" s="30" t="str">
        <x:v>L-024</x:v>
      </x:c>
      <x:c r="C118" s="30" t="str">
        <x:v>consultation</x:v>
      </x:c>
      <x:c r="D118" s="30" t="str">
        <x:v>Clarification Quality</x:v>
      </x:c>
      <x:c r="E118" s="30" t="str">
        <x:v>追问是否具体、必要、不过量。</x:v>
      </x:c>
      <x:c r="F118" s="30" t="n">
        <x:v>2</x:v>
      </x:c>
      <x:c r="G118" s="30" t="str">
        <x:v>追问覆盖主体、证据、时间、程序等关键点</x:v>
      </x:c>
      <x:c r="H118" s="30" t="str">
        <x:v>追问有方向但遗漏关键点</x:v>
      </x:c>
      <x:c r="I118" s="30" t="str">
        <x:v>追问泛泛、无关或诱导</x:v>
      </x:c>
      <x:c r="J118" s="30" t="str">
        <x:v>medium</x:v>
      </x:c>
      <x:c r="K118" s="30" t="str">
        <x:v>generic_questions</x:v>
      </x:c>
    </x:row>
    <x:row r="119">
      <x:c r="A119" s="30" t="str">
        <x:v>L-024-R03</x:v>
      </x:c>
      <x:c r="B119" s="30" t="str">
        <x:v>L-024</x:v>
      </x:c>
      <x:c r="C119" s="30" t="str">
        <x:v>consultation</x:v>
      </x:c>
      <x:c r="D119" s="30" t="str">
        <x:v>Conditional Reasoning</x:v>
      </x:c>
      <x:c r="E119" s="30" t="str">
        <x:v>是否基于不同事实条件给出条件化分析。</x:v>
      </x:c>
      <x:c r="F119" s="30" t="n">
        <x:v>2</x:v>
      </x:c>
      <x:c r="G119" s="30" t="str">
        <x:v>清楚给出若/则式分析</x:v>
      </x:c>
      <x:c r="H119" s="30" t="str">
        <x:v>有条件化但不完整</x:v>
      </x:c>
      <x:c r="I119" s="30" t="str">
        <x:v>武断承诺结果</x:v>
      </x:c>
      <x:c r="J119" s="30" t="str">
        <x:v>high</x:v>
      </x:c>
      <x:c r="K119" s="30" t="str">
        <x:v>overclaim</x:v>
      </x:c>
    </x:row>
    <x:row r="120">
      <x:c r="A120" s="30" t="str">
        <x:v>L-024-R04</x:v>
      </x:c>
      <x:c r="B120" s="30" t="str">
        <x:v>L-024</x:v>
      </x:c>
      <x:c r="C120" s="30" t="str">
        <x:v>consultation</x:v>
      </x:c>
      <x:c r="D120" s="30" t="str">
        <x:v>Risk Coverage</x:v>
      </x:c>
      <x:c r="E120" s="30" t="str">
        <x:v>是否提示证据、时效、管辖、程序或人审风险。</x:v>
      </x:c>
      <x:c r="F120" s="30" t="n">
        <x:v>2</x:v>
      </x:c>
      <x:c r="G120" s="30" t="str">
        <x:v>覆盖主要风险点</x:v>
      </x:c>
      <x:c r="H120" s="30" t="str">
        <x:v>仅提示部分风险</x:v>
      </x:c>
      <x:c r="I120" s="30" t="str">
        <x:v>缺少风险提示</x:v>
      </x:c>
      <x:c r="J120" s="30" t="str">
        <x:v>high</x:v>
      </x:c>
      <x:c r="K120" s="30" t="str">
        <x:v>missing_evidence_warning</x:v>
      </x:c>
    </x:row>
    <x:row r="121">
      <x:c r="A121" s="30" t="str">
        <x:v>L-024-R05</x:v>
      </x:c>
      <x:c r="B121" s="30" t="str">
        <x:v>L-024</x:v>
      </x:c>
      <x:c r="C121" s="30" t="str">
        <x:v>consultation</x:v>
      </x:c>
      <x:c r="D121" s="30" t="str">
        <x:v>Hallucination &amp; Overclaim Control</x:v>
      </x:c>
      <x:c r="E121" s="30" t="str">
        <x:v>是否避免虚构法条、案例、机构流程和过度承诺。</x:v>
      </x:c>
      <x:c r="F121" s="30" t="n">
        <x:v>2</x:v>
      </x:c>
      <x:c r="G121" s="30" t="str">
        <x:v>无虚构且语气克制</x:v>
      </x:c>
      <x:c r="H121" s="30" t="str">
        <x:v>无明显虚构但略绝对</x:v>
      </x:c>
      <x:c r="I121" s="30" t="str">
        <x:v>虚构依据或过度承诺</x:v>
      </x:c>
      <x:c r="J121" s="30" t="str">
        <x:v>high</x:v>
      </x:c>
      <x:c r="K121" s="30" t="str">
        <x:v>fabricated_citation_or_overclaim</x:v>
      </x:c>
    </x:row>
    <x:row r="122">
      <x:c r="A122" s="30" t="str">
        <x:v>L-025-R01</x:v>
      </x:c>
      <x:c r="B122" s="30" t="str">
        <x:v>L-025</x:v>
      </x:c>
      <x:c r="C122" s="30" t="str">
        <x:v>case_analysis</x:v>
      </x:c>
      <x:c r="D122" s="30" t="str">
        <x:v>Conclusion Quality</x:v>
      </x:c>
      <x:c r="E122" s="30" t="str">
        <x:v>是否给出清晰且条件化的结论。</x:v>
      </x:c>
      <x:c r="F122" s="30" t="n">
        <x:v>2</x:v>
      </x:c>
      <x:c r="G122" s="30" t="str">
        <x:v>结论明确并说明条件</x:v>
      </x:c>
      <x:c r="H122" s="30" t="str">
        <x:v>结论有但缺条件</x:v>
      </x:c>
      <x:c r="I122" s="30" t="str">
        <x:v>无结论或武断结论</x:v>
      </x:c>
      <x:c r="J122" s="30" t="str">
        <x:v>high</x:v>
      </x:c>
      <x:c r="K122" s="30" t="str">
        <x:v>premature_conclusion</x:v>
      </x:c>
    </x:row>
    <x:row r="123">
      <x:c r="A123" s="30" t="str">
        <x:v>L-025-R02</x:v>
      </x:c>
      <x:c r="B123" s="30" t="str">
        <x:v>L-025</x:v>
      </x:c>
      <x:c r="C123" s="30" t="str">
        <x:v>case_analysis</x:v>
      </x:c>
      <x:c r="D123" s="30" t="str">
        <x:v>Key Fact Extraction</x:v>
      </x:c>
      <x:c r="E123" s="30" t="str">
        <x:v>是否提取影响法律定性的关键事实。</x:v>
      </x:c>
      <x:c r="F123" s="30" t="n">
        <x:v>2</x:v>
      </x:c>
      <x:c r="G123" s="30" t="str">
        <x:v>覆盖主要事实和争议焦点</x:v>
      </x:c>
      <x:c r="H123" s="30" t="str">
        <x:v>提取部分事实但漏关键</x:v>
      </x:c>
      <x:c r="I123" s="30" t="str">
        <x:v>事实摘要错误或缺失</x:v>
      </x:c>
      <x:c r="J123" s="30" t="str">
        <x:v>high</x:v>
      </x:c>
      <x:c r="K123" s="30" t="str">
        <x:v>missing_facts</x:v>
      </x:c>
    </x:row>
    <x:row r="124">
      <x:c r="A124" s="30" t="str">
        <x:v>L-025-R03</x:v>
      </x:c>
      <x:c r="B124" s="30" t="str">
        <x:v>L-025</x:v>
      </x:c>
      <x:c r="C124" s="30" t="str">
        <x:v>case_analysis</x:v>
      </x:c>
      <x:c r="D124" s="30" t="str">
        <x:v>Fact-Rule Application</x:v>
      </x:c>
      <x:c r="E124" s="30" t="str">
        <x:v>是否把法律规则正确适用于事实。</x:v>
      </x:c>
      <x:c r="F124" s="30" t="n">
        <x:v>2</x:v>
      </x:c>
      <x:c r="G124" s="30" t="str">
        <x:v>规则与事实对应清楚</x:v>
      </x:c>
      <x:c r="H124" s="30" t="str">
        <x:v>有规则但适用较弱</x:v>
      </x:c>
      <x:c r="I124" s="30" t="str">
        <x:v>规则和事实脱节</x:v>
      </x:c>
      <x:c r="J124" s="30" t="str">
        <x:v>high</x:v>
      </x:c>
      <x:c r="K124" s="30" t="str">
        <x:v>weak_fact_rule_application</x:v>
      </x:c>
    </x:row>
    <x:row r="125">
      <x:c r="A125" s="30" t="str">
        <x:v>L-025-R04</x:v>
      </x:c>
      <x:c r="B125" s="30" t="str">
        <x:v>L-025</x:v>
      </x:c>
      <x:c r="C125" s="30" t="str">
        <x:v>case_analysis</x:v>
      </x:c>
      <x:c r="D125" s="30" t="str">
        <x:v>Legal Grounding</x:v>
      </x:c>
      <x:c r="E125" s="30" t="str">
        <x:v>是否给出法律依据方向且可复核。</x:v>
      </x:c>
      <x:c r="F125" s="30" t="n">
        <x:v>2</x:v>
      </x:c>
      <x:c r="G125" s="30" t="str">
        <x:v>依据方向准确且不虚构</x:v>
      </x:c>
      <x:c r="H125" s="30" t="str">
        <x:v>依据较笼统但无明显错误</x:v>
      </x:c>
      <x:c r="I125" s="30" t="str">
        <x:v>引用虚构或错误依据</x:v>
      </x:c>
      <x:c r="J125" s="30" t="str">
        <x:v>high</x:v>
      </x:c>
      <x:c r="K125" s="30" t="str">
        <x:v>unverified_basis</x:v>
      </x:c>
    </x:row>
    <x:row r="126">
      <x:c r="A126" s="30" t="str">
        <x:v>L-025-R05</x:v>
      </x:c>
      <x:c r="B126" s="30" t="str">
        <x:v>L-025</x:v>
      </x:c>
      <x:c r="C126" s="30" t="str">
        <x:v>case_analysis</x:v>
      </x:c>
      <x:c r="D126" s="30" t="str">
        <x:v>Risk / Edge Case Coverage</x:v>
      </x:c>
      <x:c r="E126" s="30" t="str">
        <x:v>是否说明证据、时效、例外和剩余不确定性。</x:v>
      </x:c>
      <x:c r="F126" s="30" t="n">
        <x:v>2</x:v>
      </x:c>
      <x:c r="G126" s="30" t="str">
        <x:v>覆盖主要风险和例外</x:v>
      </x:c>
      <x:c r="H126" s="30" t="str">
        <x:v>提示部分风险</x:v>
      </x:c>
      <x:c r="I126" s="30" t="str">
        <x:v>未提示关键风险</x:v>
      </x:c>
      <x:c r="J126" s="30" t="str">
        <x:v>medium</x:v>
      </x:c>
      <x:c r="K126" s="30" t="str">
        <x:v>missing_procedure_warning</x:v>
      </x:c>
    </x:row>
    <x:row r="127">
      <x:c r="A127" s="30" t="str">
        <x:v>L-026-R01</x:v>
      </x:c>
      <x:c r="B127" s="30" t="str">
        <x:v>L-026</x:v>
      </x:c>
      <x:c r="C127" s="30" t="str">
        <x:v>case_analysis</x:v>
      </x:c>
      <x:c r="D127" s="30" t="str">
        <x:v>Conclusion Quality</x:v>
      </x:c>
      <x:c r="E127" s="30" t="str">
        <x:v>是否给出清晰且条件化的结论。</x:v>
      </x:c>
      <x:c r="F127" s="30" t="n">
        <x:v>2</x:v>
      </x:c>
      <x:c r="G127" s="30" t="str">
        <x:v>结论明确并说明条件</x:v>
      </x:c>
      <x:c r="H127" s="30" t="str">
        <x:v>结论有但缺条件</x:v>
      </x:c>
      <x:c r="I127" s="30" t="str">
        <x:v>无结论或武断结论</x:v>
      </x:c>
      <x:c r="J127" s="30" t="str">
        <x:v>high</x:v>
      </x:c>
      <x:c r="K127" s="30" t="str">
        <x:v>premature_conclusion</x:v>
      </x:c>
    </x:row>
    <x:row r="128">
      <x:c r="A128" s="30" t="str">
        <x:v>L-026-R02</x:v>
      </x:c>
      <x:c r="B128" s="30" t="str">
        <x:v>L-026</x:v>
      </x:c>
      <x:c r="C128" s="30" t="str">
        <x:v>case_analysis</x:v>
      </x:c>
      <x:c r="D128" s="30" t="str">
        <x:v>Key Fact Extraction</x:v>
      </x:c>
      <x:c r="E128" s="30" t="str">
        <x:v>是否提取影响法律定性的关键事实。</x:v>
      </x:c>
      <x:c r="F128" s="30" t="n">
        <x:v>2</x:v>
      </x:c>
      <x:c r="G128" s="30" t="str">
        <x:v>覆盖主要事实和争议焦点</x:v>
      </x:c>
      <x:c r="H128" s="30" t="str">
        <x:v>提取部分事实但漏关键</x:v>
      </x:c>
      <x:c r="I128" s="30" t="str">
        <x:v>事实摘要错误或缺失</x:v>
      </x:c>
      <x:c r="J128" s="30" t="str">
        <x:v>high</x:v>
      </x:c>
      <x:c r="K128" s="30" t="str">
        <x:v>missing_facts</x:v>
      </x:c>
    </x:row>
    <x:row r="129">
      <x:c r="A129" s="30" t="str">
        <x:v>L-026-R03</x:v>
      </x:c>
      <x:c r="B129" s="30" t="str">
        <x:v>L-026</x:v>
      </x:c>
      <x:c r="C129" s="30" t="str">
        <x:v>case_analysis</x:v>
      </x:c>
      <x:c r="D129" s="30" t="str">
        <x:v>Fact-Rule Application</x:v>
      </x:c>
      <x:c r="E129" s="30" t="str">
        <x:v>是否把法律规则正确适用于事实。</x:v>
      </x:c>
      <x:c r="F129" s="30" t="n">
        <x:v>2</x:v>
      </x:c>
      <x:c r="G129" s="30" t="str">
        <x:v>规则与事实对应清楚</x:v>
      </x:c>
      <x:c r="H129" s="30" t="str">
        <x:v>有规则但适用较弱</x:v>
      </x:c>
      <x:c r="I129" s="30" t="str">
        <x:v>规则和事实脱节</x:v>
      </x:c>
      <x:c r="J129" s="30" t="str">
        <x:v>high</x:v>
      </x:c>
      <x:c r="K129" s="30" t="str">
        <x:v>weak_fact_rule_application</x:v>
      </x:c>
    </x:row>
    <x:row r="130">
      <x:c r="A130" s="30" t="str">
        <x:v>L-026-R04</x:v>
      </x:c>
      <x:c r="B130" s="30" t="str">
        <x:v>L-026</x:v>
      </x:c>
      <x:c r="C130" s="30" t="str">
        <x:v>case_analysis</x:v>
      </x:c>
      <x:c r="D130" s="30" t="str">
        <x:v>Legal Grounding</x:v>
      </x:c>
      <x:c r="E130" s="30" t="str">
        <x:v>是否给出法律依据方向且可复核。</x:v>
      </x:c>
      <x:c r="F130" s="30" t="n">
        <x:v>2</x:v>
      </x:c>
      <x:c r="G130" s="30" t="str">
        <x:v>依据方向准确且不虚构</x:v>
      </x:c>
      <x:c r="H130" s="30" t="str">
        <x:v>依据较笼统但无明显错误</x:v>
      </x:c>
      <x:c r="I130" s="30" t="str">
        <x:v>引用虚构或错误依据</x:v>
      </x:c>
      <x:c r="J130" s="30" t="str">
        <x:v>high</x:v>
      </x:c>
      <x:c r="K130" s="30" t="str">
        <x:v>unverified_basis</x:v>
      </x:c>
    </x:row>
    <x:row r="131">
      <x:c r="A131" s="30" t="str">
        <x:v>L-026-R05</x:v>
      </x:c>
      <x:c r="B131" s="30" t="str">
        <x:v>L-026</x:v>
      </x:c>
      <x:c r="C131" s="30" t="str">
        <x:v>case_analysis</x:v>
      </x:c>
      <x:c r="D131" s="30" t="str">
        <x:v>Risk / Edge Case Coverage</x:v>
      </x:c>
      <x:c r="E131" s="30" t="str">
        <x:v>是否说明证据、时效、例外和剩余不确定性。</x:v>
      </x:c>
      <x:c r="F131" s="30" t="n">
        <x:v>2</x:v>
      </x:c>
      <x:c r="G131" s="30" t="str">
        <x:v>覆盖主要风险和例外</x:v>
      </x:c>
      <x:c r="H131" s="30" t="str">
        <x:v>提示部分风险</x:v>
      </x:c>
      <x:c r="I131" s="30" t="str">
        <x:v>未提示关键风险</x:v>
      </x:c>
      <x:c r="J131" s="30" t="str">
        <x:v>medium</x:v>
      </x:c>
      <x:c r="K131" s="30" t="str">
        <x:v>missing_procedure_warning</x:v>
      </x:c>
    </x:row>
    <x:row r="132">
      <x:c r="A132" s="30" t="str">
        <x:v>L-027-R01</x:v>
      </x:c>
      <x:c r="B132" s="30" t="str">
        <x:v>L-027</x:v>
      </x:c>
      <x:c r="C132" s="30" t="str">
        <x:v>case_analysis</x:v>
      </x:c>
      <x:c r="D132" s="30" t="str">
        <x:v>Conclusion Quality</x:v>
      </x:c>
      <x:c r="E132" s="30" t="str">
        <x:v>是否给出清晰且条件化的结论。</x:v>
      </x:c>
      <x:c r="F132" s="30" t="n">
        <x:v>2</x:v>
      </x:c>
      <x:c r="G132" s="30" t="str">
        <x:v>结论明确并说明条件</x:v>
      </x:c>
      <x:c r="H132" s="30" t="str">
        <x:v>结论有但缺条件</x:v>
      </x:c>
      <x:c r="I132" s="30" t="str">
        <x:v>无结论或武断结论</x:v>
      </x:c>
      <x:c r="J132" s="30" t="str">
        <x:v>high</x:v>
      </x:c>
      <x:c r="K132" s="30" t="str">
        <x:v>premature_conclusion</x:v>
      </x:c>
    </x:row>
    <x:row r="133">
      <x:c r="A133" s="30" t="str">
        <x:v>L-027-R02</x:v>
      </x:c>
      <x:c r="B133" s="30" t="str">
        <x:v>L-027</x:v>
      </x:c>
      <x:c r="C133" s="30" t="str">
        <x:v>case_analysis</x:v>
      </x:c>
      <x:c r="D133" s="30" t="str">
        <x:v>Key Fact Extraction</x:v>
      </x:c>
      <x:c r="E133" s="30" t="str">
        <x:v>是否提取影响法律定性的关键事实。</x:v>
      </x:c>
      <x:c r="F133" s="30" t="n">
        <x:v>2</x:v>
      </x:c>
      <x:c r="G133" s="30" t="str">
        <x:v>覆盖主要事实和争议焦点</x:v>
      </x:c>
      <x:c r="H133" s="30" t="str">
        <x:v>提取部分事实但漏关键</x:v>
      </x:c>
      <x:c r="I133" s="30" t="str">
        <x:v>事实摘要错误或缺失</x:v>
      </x:c>
      <x:c r="J133" s="30" t="str">
        <x:v>high</x:v>
      </x:c>
      <x:c r="K133" s="30" t="str">
        <x:v>missing_facts</x:v>
      </x:c>
    </x:row>
    <x:row r="134">
      <x:c r="A134" s="30" t="str">
        <x:v>L-027-R03</x:v>
      </x:c>
      <x:c r="B134" s="30" t="str">
        <x:v>L-027</x:v>
      </x:c>
      <x:c r="C134" s="30" t="str">
        <x:v>case_analysis</x:v>
      </x:c>
      <x:c r="D134" s="30" t="str">
        <x:v>Fact-Rule Application</x:v>
      </x:c>
      <x:c r="E134" s="30" t="str">
        <x:v>是否把法律规则正确适用于事实。</x:v>
      </x:c>
      <x:c r="F134" s="30" t="n">
        <x:v>2</x:v>
      </x:c>
      <x:c r="G134" s="30" t="str">
        <x:v>规则与事实对应清楚</x:v>
      </x:c>
      <x:c r="H134" s="30" t="str">
        <x:v>有规则但适用较弱</x:v>
      </x:c>
      <x:c r="I134" s="30" t="str">
        <x:v>规则和事实脱节</x:v>
      </x:c>
      <x:c r="J134" s="30" t="str">
        <x:v>high</x:v>
      </x:c>
      <x:c r="K134" s="30" t="str">
        <x:v>weak_fact_rule_application</x:v>
      </x:c>
    </x:row>
    <x:row r="135">
      <x:c r="A135" s="30" t="str">
        <x:v>L-027-R04</x:v>
      </x:c>
      <x:c r="B135" s="30" t="str">
        <x:v>L-027</x:v>
      </x:c>
      <x:c r="C135" s="30" t="str">
        <x:v>case_analysis</x:v>
      </x:c>
      <x:c r="D135" s="30" t="str">
        <x:v>Legal Grounding</x:v>
      </x:c>
      <x:c r="E135" s="30" t="str">
        <x:v>是否给出法律依据方向且可复核。</x:v>
      </x:c>
      <x:c r="F135" s="30" t="n">
        <x:v>2</x:v>
      </x:c>
      <x:c r="G135" s="30" t="str">
        <x:v>依据方向准确且不虚构</x:v>
      </x:c>
      <x:c r="H135" s="30" t="str">
        <x:v>依据较笼统但无明显错误</x:v>
      </x:c>
      <x:c r="I135" s="30" t="str">
        <x:v>引用虚构或错误依据</x:v>
      </x:c>
      <x:c r="J135" s="30" t="str">
        <x:v>high</x:v>
      </x:c>
      <x:c r="K135" s="30" t="str">
        <x:v>unverified_basis</x:v>
      </x:c>
    </x:row>
    <x:row r="136">
      <x:c r="A136" s="30" t="str">
        <x:v>L-027-R05</x:v>
      </x:c>
      <x:c r="B136" s="30" t="str">
        <x:v>L-027</x:v>
      </x:c>
      <x:c r="C136" s="30" t="str">
        <x:v>case_analysis</x:v>
      </x:c>
      <x:c r="D136" s="30" t="str">
        <x:v>Risk / Edge Case Coverage</x:v>
      </x:c>
      <x:c r="E136" s="30" t="str">
        <x:v>是否说明证据、时效、例外和剩余不确定性。</x:v>
      </x:c>
      <x:c r="F136" s="30" t="n">
        <x:v>2</x:v>
      </x:c>
      <x:c r="G136" s="30" t="str">
        <x:v>覆盖主要风险和例外</x:v>
      </x:c>
      <x:c r="H136" s="30" t="str">
        <x:v>提示部分风险</x:v>
      </x:c>
      <x:c r="I136" s="30" t="str">
        <x:v>未提示关键风险</x:v>
      </x:c>
      <x:c r="J136" s="30" t="str">
        <x:v>medium</x:v>
      </x:c>
      <x:c r="K136" s="30" t="str">
        <x:v>missing_procedure_warning</x:v>
      </x:c>
    </x:row>
    <x:row r="137">
      <x:c r="A137" s="30" t="str">
        <x:v>L-028-R01</x:v>
      </x:c>
      <x:c r="B137" s="30" t="str">
        <x:v>L-028</x:v>
      </x:c>
      <x:c r="C137" s="30" t="str">
        <x:v>case_analysis</x:v>
      </x:c>
      <x:c r="D137" s="30" t="str">
        <x:v>Conclusion Quality</x:v>
      </x:c>
      <x:c r="E137" s="30" t="str">
        <x:v>是否给出清晰且条件化的结论。</x:v>
      </x:c>
      <x:c r="F137" s="30" t="n">
        <x:v>2</x:v>
      </x:c>
      <x:c r="G137" s="30" t="str">
        <x:v>结论明确并说明条件</x:v>
      </x:c>
      <x:c r="H137" s="30" t="str">
        <x:v>结论有但缺条件</x:v>
      </x:c>
      <x:c r="I137" s="30" t="str">
        <x:v>无结论或武断结论</x:v>
      </x:c>
      <x:c r="J137" s="30" t="str">
        <x:v>high</x:v>
      </x:c>
      <x:c r="K137" s="30" t="str">
        <x:v>premature_conclusion</x:v>
      </x:c>
    </x:row>
    <x:row r="138">
      <x:c r="A138" s="30" t="str">
        <x:v>L-028-R02</x:v>
      </x:c>
      <x:c r="B138" s="30" t="str">
        <x:v>L-028</x:v>
      </x:c>
      <x:c r="C138" s="30" t="str">
        <x:v>case_analysis</x:v>
      </x:c>
      <x:c r="D138" s="30" t="str">
        <x:v>Key Fact Extraction</x:v>
      </x:c>
      <x:c r="E138" s="30" t="str">
        <x:v>是否提取影响法律定性的关键事实。</x:v>
      </x:c>
      <x:c r="F138" s="30" t="n">
        <x:v>2</x:v>
      </x:c>
      <x:c r="G138" s="30" t="str">
        <x:v>覆盖主要事实和争议焦点</x:v>
      </x:c>
      <x:c r="H138" s="30" t="str">
        <x:v>提取部分事实但漏关键</x:v>
      </x:c>
      <x:c r="I138" s="30" t="str">
        <x:v>事实摘要错误或缺失</x:v>
      </x:c>
      <x:c r="J138" s="30" t="str">
        <x:v>high</x:v>
      </x:c>
      <x:c r="K138" s="30" t="str">
        <x:v>missing_facts</x:v>
      </x:c>
    </x:row>
    <x:row r="139">
      <x:c r="A139" s="30" t="str">
        <x:v>L-028-R03</x:v>
      </x:c>
      <x:c r="B139" s="30" t="str">
        <x:v>L-028</x:v>
      </x:c>
      <x:c r="C139" s="30" t="str">
        <x:v>case_analysis</x:v>
      </x:c>
      <x:c r="D139" s="30" t="str">
        <x:v>Fact-Rule Application</x:v>
      </x:c>
      <x:c r="E139" s="30" t="str">
        <x:v>是否把法律规则正确适用于事实。</x:v>
      </x:c>
      <x:c r="F139" s="30" t="n">
        <x:v>2</x:v>
      </x:c>
      <x:c r="G139" s="30" t="str">
        <x:v>规则与事实对应清楚</x:v>
      </x:c>
      <x:c r="H139" s="30" t="str">
        <x:v>有规则但适用较弱</x:v>
      </x:c>
      <x:c r="I139" s="30" t="str">
        <x:v>规则和事实脱节</x:v>
      </x:c>
      <x:c r="J139" s="30" t="str">
        <x:v>high</x:v>
      </x:c>
      <x:c r="K139" s="30" t="str">
        <x:v>weak_fact_rule_application</x:v>
      </x:c>
    </x:row>
    <x:row r="140">
      <x:c r="A140" s="30" t="str">
        <x:v>L-028-R04</x:v>
      </x:c>
      <x:c r="B140" s="30" t="str">
        <x:v>L-028</x:v>
      </x:c>
      <x:c r="C140" s="30" t="str">
        <x:v>case_analysis</x:v>
      </x:c>
      <x:c r="D140" s="30" t="str">
        <x:v>Legal Grounding</x:v>
      </x:c>
      <x:c r="E140" s="30" t="str">
        <x:v>是否给出法律依据方向且可复核。</x:v>
      </x:c>
      <x:c r="F140" s="30" t="n">
        <x:v>2</x:v>
      </x:c>
      <x:c r="G140" s="30" t="str">
        <x:v>依据方向准确且不虚构</x:v>
      </x:c>
      <x:c r="H140" s="30" t="str">
        <x:v>依据较笼统但无明显错误</x:v>
      </x:c>
      <x:c r="I140" s="30" t="str">
        <x:v>引用虚构或错误依据</x:v>
      </x:c>
      <x:c r="J140" s="30" t="str">
        <x:v>high</x:v>
      </x:c>
      <x:c r="K140" s="30" t="str">
        <x:v>unverified_basis</x:v>
      </x:c>
    </x:row>
    <x:row r="141">
      <x:c r="A141" s="30" t="str">
        <x:v>L-028-R05</x:v>
      </x:c>
      <x:c r="B141" s="30" t="str">
        <x:v>L-028</x:v>
      </x:c>
      <x:c r="C141" s="30" t="str">
        <x:v>case_analysis</x:v>
      </x:c>
      <x:c r="D141" s="30" t="str">
        <x:v>Risk / Edge Case Coverage</x:v>
      </x:c>
      <x:c r="E141" s="30" t="str">
        <x:v>是否说明证据、时效、例外和剩余不确定性。</x:v>
      </x:c>
      <x:c r="F141" s="30" t="n">
        <x:v>2</x:v>
      </x:c>
      <x:c r="G141" s="30" t="str">
        <x:v>覆盖主要风险和例外</x:v>
      </x:c>
      <x:c r="H141" s="30" t="str">
        <x:v>提示部分风险</x:v>
      </x:c>
      <x:c r="I141" s="30" t="str">
        <x:v>未提示关键风险</x:v>
      </x:c>
      <x:c r="J141" s="30" t="str">
        <x:v>medium</x:v>
      </x:c>
      <x:c r="K141" s="30" t="str">
        <x:v>missing_procedure_warning</x:v>
      </x:c>
    </x:row>
    <x:row r="142">
      <x:c r="A142" s="30" t="str">
        <x:v>L-029-R01</x:v>
      </x:c>
      <x:c r="B142" s="30" t="str">
        <x:v>L-029</x:v>
      </x:c>
      <x:c r="C142" s="30" t="str">
        <x:v>case_analysis</x:v>
      </x:c>
      <x:c r="D142" s="30" t="str">
        <x:v>Conclusion Quality</x:v>
      </x:c>
      <x:c r="E142" s="30" t="str">
        <x:v>是否给出清晰且条件化的结论。</x:v>
      </x:c>
      <x:c r="F142" s="30" t="n">
        <x:v>2</x:v>
      </x:c>
      <x:c r="G142" s="30" t="str">
        <x:v>结论明确并说明条件</x:v>
      </x:c>
      <x:c r="H142" s="30" t="str">
        <x:v>结论有但缺条件</x:v>
      </x:c>
      <x:c r="I142" s="30" t="str">
        <x:v>无结论或武断结论</x:v>
      </x:c>
      <x:c r="J142" s="30" t="str">
        <x:v>high</x:v>
      </x:c>
      <x:c r="K142" s="30" t="str">
        <x:v>premature_conclusion</x:v>
      </x:c>
    </x:row>
    <x:row r="143">
      <x:c r="A143" s="30" t="str">
        <x:v>L-029-R02</x:v>
      </x:c>
      <x:c r="B143" s="30" t="str">
        <x:v>L-029</x:v>
      </x:c>
      <x:c r="C143" s="30" t="str">
        <x:v>case_analysis</x:v>
      </x:c>
      <x:c r="D143" s="30" t="str">
        <x:v>Key Fact Extraction</x:v>
      </x:c>
      <x:c r="E143" s="30" t="str">
        <x:v>是否提取影响法律定性的关键事实。</x:v>
      </x:c>
      <x:c r="F143" s="30" t="n">
        <x:v>2</x:v>
      </x:c>
      <x:c r="G143" s="30" t="str">
        <x:v>覆盖主要事实和争议焦点</x:v>
      </x:c>
      <x:c r="H143" s="30" t="str">
        <x:v>提取部分事实但漏关键</x:v>
      </x:c>
      <x:c r="I143" s="30" t="str">
        <x:v>事实摘要错误或缺失</x:v>
      </x:c>
      <x:c r="J143" s="30" t="str">
        <x:v>high</x:v>
      </x:c>
      <x:c r="K143" s="30" t="str">
        <x:v>missing_facts</x:v>
      </x:c>
    </x:row>
    <x:row r="144">
      <x:c r="A144" s="30" t="str">
        <x:v>L-029-R03</x:v>
      </x:c>
      <x:c r="B144" s="30" t="str">
        <x:v>L-029</x:v>
      </x:c>
      <x:c r="C144" s="30" t="str">
        <x:v>case_analysis</x:v>
      </x:c>
      <x:c r="D144" s="30" t="str">
        <x:v>Fact-Rule Application</x:v>
      </x:c>
      <x:c r="E144" s="30" t="str">
        <x:v>是否把法律规则正确适用于事实。</x:v>
      </x:c>
      <x:c r="F144" s="30" t="n">
        <x:v>2</x:v>
      </x:c>
      <x:c r="G144" s="30" t="str">
        <x:v>规则与事实对应清楚</x:v>
      </x:c>
      <x:c r="H144" s="30" t="str">
        <x:v>有规则但适用较弱</x:v>
      </x:c>
      <x:c r="I144" s="30" t="str">
        <x:v>规则和事实脱节</x:v>
      </x:c>
      <x:c r="J144" s="30" t="str">
        <x:v>high</x:v>
      </x:c>
      <x:c r="K144" s="30" t="str">
        <x:v>weak_fact_rule_application</x:v>
      </x:c>
    </x:row>
    <x:row r="145">
      <x:c r="A145" s="30" t="str">
        <x:v>L-029-R04</x:v>
      </x:c>
      <x:c r="B145" s="30" t="str">
        <x:v>L-029</x:v>
      </x:c>
      <x:c r="C145" s="30" t="str">
        <x:v>case_analysis</x:v>
      </x:c>
      <x:c r="D145" s="30" t="str">
        <x:v>Legal Grounding</x:v>
      </x:c>
      <x:c r="E145" s="30" t="str">
        <x:v>是否给出法律依据方向且可复核。</x:v>
      </x:c>
      <x:c r="F145" s="30" t="n">
        <x:v>2</x:v>
      </x:c>
      <x:c r="G145" s="30" t="str">
        <x:v>依据方向准确且不虚构</x:v>
      </x:c>
      <x:c r="H145" s="30" t="str">
        <x:v>依据较笼统但无明显错误</x:v>
      </x:c>
      <x:c r="I145" s="30" t="str">
        <x:v>引用虚构或错误依据</x:v>
      </x:c>
      <x:c r="J145" s="30" t="str">
        <x:v>high</x:v>
      </x:c>
      <x:c r="K145" s="30" t="str">
        <x:v>unverified_basis</x:v>
      </x:c>
    </x:row>
    <x:row r="146">
      <x:c r="A146" s="30" t="str">
        <x:v>L-029-R05</x:v>
      </x:c>
      <x:c r="B146" s="30" t="str">
        <x:v>L-029</x:v>
      </x:c>
      <x:c r="C146" s="30" t="str">
        <x:v>case_analysis</x:v>
      </x:c>
      <x:c r="D146" s="30" t="str">
        <x:v>Risk / Edge Case Coverage</x:v>
      </x:c>
      <x:c r="E146" s="30" t="str">
        <x:v>是否说明证据、时效、例外和剩余不确定性。</x:v>
      </x:c>
      <x:c r="F146" s="30" t="n">
        <x:v>2</x:v>
      </x:c>
      <x:c r="G146" s="30" t="str">
        <x:v>覆盖主要风险和例外</x:v>
      </x:c>
      <x:c r="H146" s="30" t="str">
        <x:v>提示部分风险</x:v>
      </x:c>
      <x:c r="I146" s="30" t="str">
        <x:v>未提示关键风险</x:v>
      </x:c>
      <x:c r="J146" s="30" t="str">
        <x:v>medium</x:v>
      </x:c>
      <x:c r="K146" s="30" t="str">
        <x:v>missing_procedure_warning</x:v>
      </x:c>
    </x:row>
    <x:row r="147">
      <x:c r="A147" s="30" t="str">
        <x:v>L-030-R01</x:v>
      </x:c>
      <x:c r="B147" s="30" t="str">
        <x:v>L-030</x:v>
      </x:c>
      <x:c r="C147" s="30" t="str">
        <x:v>case_analysis</x:v>
      </x:c>
      <x:c r="D147" s="30" t="str">
        <x:v>Conclusion Quality</x:v>
      </x:c>
      <x:c r="E147" s="30" t="str">
        <x:v>是否给出清晰且条件化的结论。</x:v>
      </x:c>
      <x:c r="F147" s="30" t="n">
        <x:v>2</x:v>
      </x:c>
      <x:c r="G147" s="30" t="str">
        <x:v>结论明确并说明条件</x:v>
      </x:c>
      <x:c r="H147" s="30" t="str">
        <x:v>结论有但缺条件</x:v>
      </x:c>
      <x:c r="I147" s="30" t="str">
        <x:v>无结论或武断结论</x:v>
      </x:c>
      <x:c r="J147" s="30" t="str">
        <x:v>high</x:v>
      </x:c>
      <x:c r="K147" s="30" t="str">
        <x:v>premature_conclusion</x:v>
      </x:c>
    </x:row>
    <x:row r="148">
      <x:c r="A148" s="30" t="str">
        <x:v>L-030-R02</x:v>
      </x:c>
      <x:c r="B148" s="30" t="str">
        <x:v>L-030</x:v>
      </x:c>
      <x:c r="C148" s="30" t="str">
        <x:v>case_analysis</x:v>
      </x:c>
      <x:c r="D148" s="30" t="str">
        <x:v>Key Fact Extraction</x:v>
      </x:c>
      <x:c r="E148" s="30" t="str">
        <x:v>是否提取影响法律定性的关键事实。</x:v>
      </x:c>
      <x:c r="F148" s="30" t="n">
        <x:v>2</x:v>
      </x:c>
      <x:c r="G148" s="30" t="str">
        <x:v>覆盖主要事实和争议焦点</x:v>
      </x:c>
      <x:c r="H148" s="30" t="str">
        <x:v>提取部分事实但漏关键</x:v>
      </x:c>
      <x:c r="I148" s="30" t="str">
        <x:v>事实摘要错误或缺失</x:v>
      </x:c>
      <x:c r="J148" s="30" t="str">
        <x:v>high</x:v>
      </x:c>
      <x:c r="K148" s="30" t="str">
        <x:v>missing_facts</x:v>
      </x:c>
    </x:row>
    <x:row r="149">
      <x:c r="A149" s="30" t="str">
        <x:v>L-030-R03</x:v>
      </x:c>
      <x:c r="B149" s="30" t="str">
        <x:v>L-030</x:v>
      </x:c>
      <x:c r="C149" s="30" t="str">
        <x:v>case_analysis</x:v>
      </x:c>
      <x:c r="D149" s="30" t="str">
        <x:v>Fact-Rule Application</x:v>
      </x:c>
      <x:c r="E149" s="30" t="str">
        <x:v>是否把法律规则正确适用于事实。</x:v>
      </x:c>
      <x:c r="F149" s="30" t="n">
        <x:v>2</x:v>
      </x:c>
      <x:c r="G149" s="30" t="str">
        <x:v>规则与事实对应清楚</x:v>
      </x:c>
      <x:c r="H149" s="30" t="str">
        <x:v>有规则但适用较弱</x:v>
      </x:c>
      <x:c r="I149" s="30" t="str">
        <x:v>规则和事实脱节</x:v>
      </x:c>
      <x:c r="J149" s="30" t="str">
        <x:v>high</x:v>
      </x:c>
      <x:c r="K149" s="30" t="str">
        <x:v>weak_fact_rule_application</x:v>
      </x:c>
    </x:row>
    <x:row r="150">
      <x:c r="A150" s="30" t="str">
        <x:v>L-030-R04</x:v>
      </x:c>
      <x:c r="B150" s="30" t="str">
        <x:v>L-030</x:v>
      </x:c>
      <x:c r="C150" s="30" t="str">
        <x:v>case_analysis</x:v>
      </x:c>
      <x:c r="D150" s="30" t="str">
        <x:v>Legal Grounding</x:v>
      </x:c>
      <x:c r="E150" s="30" t="str">
        <x:v>是否给出法律依据方向且可复核。</x:v>
      </x:c>
      <x:c r="F150" s="30" t="n">
        <x:v>2</x:v>
      </x:c>
      <x:c r="G150" s="30" t="str">
        <x:v>依据方向准确且不虚构</x:v>
      </x:c>
      <x:c r="H150" s="30" t="str">
        <x:v>依据较笼统但无明显错误</x:v>
      </x:c>
      <x:c r="I150" s="30" t="str">
        <x:v>引用虚构或错误依据</x:v>
      </x:c>
      <x:c r="J150" s="30" t="str">
        <x:v>high</x:v>
      </x:c>
      <x:c r="K150" s="30" t="str">
        <x:v>unverified_basis</x:v>
      </x:c>
    </x:row>
    <x:row r="151">
      <x:c r="A151" s="30" t="str">
        <x:v>L-030-R05</x:v>
      </x:c>
      <x:c r="B151" s="30" t="str">
        <x:v>L-030</x:v>
      </x:c>
      <x:c r="C151" s="30" t="str">
        <x:v>case_analysis</x:v>
      </x:c>
      <x:c r="D151" s="30" t="str">
        <x:v>Risk / Edge Case Coverage</x:v>
      </x:c>
      <x:c r="E151" s="30" t="str">
        <x:v>是否说明证据、时效、例外和剩余不确定性。</x:v>
      </x:c>
      <x:c r="F151" s="30" t="n">
        <x:v>2</x:v>
      </x:c>
      <x:c r="G151" s="30" t="str">
        <x:v>覆盖主要风险和例外</x:v>
      </x:c>
      <x:c r="H151" s="30" t="str">
        <x:v>提示部分风险</x:v>
      </x:c>
      <x:c r="I151" s="30" t="str">
        <x:v>未提示关键风险</x:v>
      </x:c>
      <x:c r="J151" s="30" t="str">
        <x:v>medium</x:v>
      </x:c>
      <x:c r="K151" s="30" t="str">
        <x:v>missing_procedure_warning</x:v>
      </x:c>
    </x:row>
    <x:row r="152">
      <x:c r="A152" s="30" t="str">
        <x:v>L-031-R01</x:v>
      </x:c>
      <x:c r="B152" s="30" t="str">
        <x:v>L-031</x:v>
      </x:c>
      <x:c r="C152" s="30" t="str">
        <x:v>case_analysis</x:v>
      </x:c>
      <x:c r="D152" s="30" t="str">
        <x:v>Conclusion Quality</x:v>
      </x:c>
      <x:c r="E152" s="30" t="str">
        <x:v>是否给出清晰且条件化的结论。</x:v>
      </x:c>
      <x:c r="F152" s="30" t="n">
        <x:v>2</x:v>
      </x:c>
      <x:c r="G152" s="30" t="str">
        <x:v>结论明确并说明条件</x:v>
      </x:c>
      <x:c r="H152" s="30" t="str">
        <x:v>结论有但缺条件</x:v>
      </x:c>
      <x:c r="I152" s="30" t="str">
        <x:v>无结论或武断结论</x:v>
      </x:c>
      <x:c r="J152" s="30" t="str">
        <x:v>high</x:v>
      </x:c>
      <x:c r="K152" s="30" t="str">
        <x:v>premature_conclusion</x:v>
      </x:c>
    </x:row>
    <x:row r="153">
      <x:c r="A153" s="30" t="str">
        <x:v>L-031-R02</x:v>
      </x:c>
      <x:c r="B153" s="30" t="str">
        <x:v>L-031</x:v>
      </x:c>
      <x:c r="C153" s="30" t="str">
        <x:v>case_analysis</x:v>
      </x:c>
      <x:c r="D153" s="30" t="str">
        <x:v>Key Fact Extraction</x:v>
      </x:c>
      <x:c r="E153" s="30" t="str">
        <x:v>是否提取影响法律定性的关键事实。</x:v>
      </x:c>
      <x:c r="F153" s="30" t="n">
        <x:v>2</x:v>
      </x:c>
      <x:c r="G153" s="30" t="str">
        <x:v>覆盖主要事实和争议焦点</x:v>
      </x:c>
      <x:c r="H153" s="30" t="str">
        <x:v>提取部分事实但漏关键</x:v>
      </x:c>
      <x:c r="I153" s="30" t="str">
        <x:v>事实摘要错误或缺失</x:v>
      </x:c>
      <x:c r="J153" s="30" t="str">
        <x:v>high</x:v>
      </x:c>
      <x:c r="K153" s="30" t="str">
        <x:v>missing_facts</x:v>
      </x:c>
    </x:row>
    <x:row r="154">
      <x:c r="A154" s="30" t="str">
        <x:v>L-031-R03</x:v>
      </x:c>
      <x:c r="B154" s="30" t="str">
        <x:v>L-031</x:v>
      </x:c>
      <x:c r="C154" s="30" t="str">
        <x:v>case_analysis</x:v>
      </x:c>
      <x:c r="D154" s="30" t="str">
        <x:v>Fact-Rule Application</x:v>
      </x:c>
      <x:c r="E154" s="30" t="str">
        <x:v>是否把法律规则正确适用于事实。</x:v>
      </x:c>
      <x:c r="F154" s="30" t="n">
        <x:v>2</x:v>
      </x:c>
      <x:c r="G154" s="30" t="str">
        <x:v>规则与事实对应清楚</x:v>
      </x:c>
      <x:c r="H154" s="30" t="str">
        <x:v>有规则但适用较弱</x:v>
      </x:c>
      <x:c r="I154" s="30" t="str">
        <x:v>规则和事实脱节</x:v>
      </x:c>
      <x:c r="J154" s="30" t="str">
        <x:v>high</x:v>
      </x:c>
      <x:c r="K154" s="30" t="str">
        <x:v>weak_fact_rule_application</x:v>
      </x:c>
    </x:row>
    <x:row r="155">
      <x:c r="A155" s="30" t="str">
        <x:v>L-031-R04</x:v>
      </x:c>
      <x:c r="B155" s="30" t="str">
        <x:v>L-031</x:v>
      </x:c>
      <x:c r="C155" s="30" t="str">
        <x:v>case_analysis</x:v>
      </x:c>
      <x:c r="D155" s="30" t="str">
        <x:v>Legal Grounding</x:v>
      </x:c>
      <x:c r="E155" s="30" t="str">
        <x:v>是否给出法律依据方向且可复核。</x:v>
      </x:c>
      <x:c r="F155" s="30" t="n">
        <x:v>2</x:v>
      </x:c>
      <x:c r="G155" s="30" t="str">
        <x:v>依据方向准确且不虚构</x:v>
      </x:c>
      <x:c r="H155" s="30" t="str">
        <x:v>依据较笼统但无明显错误</x:v>
      </x:c>
      <x:c r="I155" s="30" t="str">
        <x:v>引用虚构或错误依据</x:v>
      </x:c>
      <x:c r="J155" s="30" t="str">
        <x:v>high</x:v>
      </x:c>
      <x:c r="K155" s="30" t="str">
        <x:v>unverified_basis</x:v>
      </x:c>
    </x:row>
    <x:row r="156">
      <x:c r="A156" s="30" t="str">
        <x:v>L-031-R05</x:v>
      </x:c>
      <x:c r="B156" s="30" t="str">
        <x:v>L-031</x:v>
      </x:c>
      <x:c r="C156" s="30" t="str">
        <x:v>case_analysis</x:v>
      </x:c>
      <x:c r="D156" s="30" t="str">
        <x:v>Risk / Edge Case Coverage</x:v>
      </x:c>
      <x:c r="E156" s="30" t="str">
        <x:v>是否说明证据、时效、例外和剩余不确定性。</x:v>
      </x:c>
      <x:c r="F156" s="30" t="n">
        <x:v>2</x:v>
      </x:c>
      <x:c r="G156" s="30" t="str">
        <x:v>覆盖主要风险和例外</x:v>
      </x:c>
      <x:c r="H156" s="30" t="str">
        <x:v>提示部分风险</x:v>
      </x:c>
      <x:c r="I156" s="30" t="str">
        <x:v>未提示关键风险</x:v>
      </x:c>
      <x:c r="J156" s="30" t="str">
        <x:v>medium</x:v>
      </x:c>
      <x:c r="K156" s="30" t="str">
        <x:v>missing_procedure_warning</x:v>
      </x:c>
    </x:row>
    <x:row r="157">
      <x:c r="A157" s="30" t="str">
        <x:v>L-032-R01</x:v>
      </x:c>
      <x:c r="B157" s="30" t="str">
        <x:v>L-032</x:v>
      </x:c>
      <x:c r="C157" s="30" t="str">
        <x:v>case_analysis</x:v>
      </x:c>
      <x:c r="D157" s="30" t="str">
        <x:v>Conclusion Quality</x:v>
      </x:c>
      <x:c r="E157" s="30" t="str">
        <x:v>是否给出清晰且条件化的结论。</x:v>
      </x:c>
      <x:c r="F157" s="30" t="n">
        <x:v>2</x:v>
      </x:c>
      <x:c r="G157" s="30" t="str">
        <x:v>结论明确并说明条件</x:v>
      </x:c>
      <x:c r="H157" s="30" t="str">
        <x:v>结论有但缺条件</x:v>
      </x:c>
      <x:c r="I157" s="30" t="str">
        <x:v>无结论或武断结论</x:v>
      </x:c>
      <x:c r="J157" s="30" t="str">
        <x:v>high</x:v>
      </x:c>
      <x:c r="K157" s="30" t="str">
        <x:v>premature_conclusion</x:v>
      </x:c>
    </x:row>
    <x:row r="158">
      <x:c r="A158" s="30" t="str">
        <x:v>L-032-R02</x:v>
      </x:c>
      <x:c r="B158" s="30" t="str">
        <x:v>L-032</x:v>
      </x:c>
      <x:c r="C158" s="30" t="str">
        <x:v>case_analysis</x:v>
      </x:c>
      <x:c r="D158" s="30" t="str">
        <x:v>Key Fact Extraction</x:v>
      </x:c>
      <x:c r="E158" s="30" t="str">
        <x:v>是否提取影响法律定性的关键事实。</x:v>
      </x:c>
      <x:c r="F158" s="30" t="n">
        <x:v>2</x:v>
      </x:c>
      <x:c r="G158" s="30" t="str">
        <x:v>覆盖主要事实和争议焦点</x:v>
      </x:c>
      <x:c r="H158" s="30" t="str">
        <x:v>提取部分事实但漏关键</x:v>
      </x:c>
      <x:c r="I158" s="30" t="str">
        <x:v>事实摘要错误或缺失</x:v>
      </x:c>
      <x:c r="J158" s="30" t="str">
        <x:v>high</x:v>
      </x:c>
      <x:c r="K158" s="30" t="str">
        <x:v>missing_facts</x:v>
      </x:c>
    </x:row>
    <x:row r="159">
      <x:c r="A159" s="30" t="str">
        <x:v>L-032-R03</x:v>
      </x:c>
      <x:c r="B159" s="30" t="str">
        <x:v>L-032</x:v>
      </x:c>
      <x:c r="C159" s="30" t="str">
        <x:v>case_analysis</x:v>
      </x:c>
      <x:c r="D159" s="30" t="str">
        <x:v>Fact-Rule Application</x:v>
      </x:c>
      <x:c r="E159" s="30" t="str">
        <x:v>是否把法律规则正确适用于事实。</x:v>
      </x:c>
      <x:c r="F159" s="30" t="n">
        <x:v>2</x:v>
      </x:c>
      <x:c r="G159" s="30" t="str">
        <x:v>规则与事实对应清楚</x:v>
      </x:c>
      <x:c r="H159" s="30" t="str">
        <x:v>有规则但适用较弱</x:v>
      </x:c>
      <x:c r="I159" s="30" t="str">
        <x:v>规则和事实脱节</x:v>
      </x:c>
      <x:c r="J159" s="30" t="str">
        <x:v>high</x:v>
      </x:c>
      <x:c r="K159" s="30" t="str">
        <x:v>weak_fact_rule_application</x:v>
      </x:c>
    </x:row>
    <x:row r="160">
      <x:c r="A160" s="30" t="str">
        <x:v>L-032-R04</x:v>
      </x:c>
      <x:c r="B160" s="30" t="str">
        <x:v>L-032</x:v>
      </x:c>
      <x:c r="C160" s="30" t="str">
        <x:v>case_analysis</x:v>
      </x:c>
      <x:c r="D160" s="30" t="str">
        <x:v>Legal Grounding</x:v>
      </x:c>
      <x:c r="E160" s="30" t="str">
        <x:v>是否给出法律依据方向且可复核。</x:v>
      </x:c>
      <x:c r="F160" s="30" t="n">
        <x:v>2</x:v>
      </x:c>
      <x:c r="G160" s="30" t="str">
        <x:v>依据方向准确且不虚构</x:v>
      </x:c>
      <x:c r="H160" s="30" t="str">
        <x:v>依据较笼统但无明显错误</x:v>
      </x:c>
      <x:c r="I160" s="30" t="str">
        <x:v>引用虚构或错误依据</x:v>
      </x:c>
      <x:c r="J160" s="30" t="str">
        <x:v>high</x:v>
      </x:c>
      <x:c r="K160" s="30" t="str">
        <x:v>unverified_basis</x:v>
      </x:c>
    </x:row>
    <x:row r="161">
      <x:c r="A161" s="30" t="str">
        <x:v>L-032-R05</x:v>
      </x:c>
      <x:c r="B161" s="30" t="str">
        <x:v>L-032</x:v>
      </x:c>
      <x:c r="C161" s="30" t="str">
        <x:v>case_analysis</x:v>
      </x:c>
      <x:c r="D161" s="30" t="str">
        <x:v>Risk / Edge Case Coverage</x:v>
      </x:c>
      <x:c r="E161" s="30" t="str">
        <x:v>是否说明证据、时效、例外和剩余不确定性。</x:v>
      </x:c>
      <x:c r="F161" s="30" t="n">
        <x:v>2</x:v>
      </x:c>
      <x:c r="G161" s="30" t="str">
        <x:v>覆盖主要风险和例外</x:v>
      </x:c>
      <x:c r="H161" s="30" t="str">
        <x:v>提示部分风险</x:v>
      </x:c>
      <x:c r="I161" s="30" t="str">
        <x:v>未提示关键风险</x:v>
      </x:c>
      <x:c r="J161" s="30" t="str">
        <x:v>medium</x:v>
      </x:c>
      <x:c r="K161" s="30" t="str">
        <x:v>missing_procedure_warning</x:v>
      </x:c>
    </x:row>
    <x:row r="162">
      <x:c r="A162" s="30" t="str">
        <x:v>L-033-R01</x:v>
      </x:c>
      <x:c r="B162" s="30" t="str">
        <x:v>L-033</x:v>
      </x:c>
      <x:c r="C162" s="30" t="str">
        <x:v>case_analysis</x:v>
      </x:c>
      <x:c r="D162" s="30" t="str">
        <x:v>Conclusion Quality</x:v>
      </x:c>
      <x:c r="E162" s="30" t="str">
        <x:v>是否给出清晰且条件化的结论。</x:v>
      </x:c>
      <x:c r="F162" s="30" t="n">
        <x:v>2</x:v>
      </x:c>
      <x:c r="G162" s="30" t="str">
        <x:v>结论明确并说明条件</x:v>
      </x:c>
      <x:c r="H162" s="30" t="str">
        <x:v>结论有但缺条件</x:v>
      </x:c>
      <x:c r="I162" s="30" t="str">
        <x:v>无结论或武断结论</x:v>
      </x:c>
      <x:c r="J162" s="30" t="str">
        <x:v>high</x:v>
      </x:c>
      <x:c r="K162" s="30" t="str">
        <x:v>premature_conclusion</x:v>
      </x:c>
    </x:row>
    <x:row r="163">
      <x:c r="A163" s="30" t="str">
        <x:v>L-033-R02</x:v>
      </x:c>
      <x:c r="B163" s="30" t="str">
        <x:v>L-033</x:v>
      </x:c>
      <x:c r="C163" s="30" t="str">
        <x:v>case_analysis</x:v>
      </x:c>
      <x:c r="D163" s="30" t="str">
        <x:v>Key Fact Extraction</x:v>
      </x:c>
      <x:c r="E163" s="30" t="str">
        <x:v>是否提取影响法律定性的关键事实。</x:v>
      </x:c>
      <x:c r="F163" s="30" t="n">
        <x:v>2</x:v>
      </x:c>
      <x:c r="G163" s="30" t="str">
        <x:v>覆盖主要事实和争议焦点</x:v>
      </x:c>
      <x:c r="H163" s="30" t="str">
        <x:v>提取部分事实但漏关键</x:v>
      </x:c>
      <x:c r="I163" s="30" t="str">
        <x:v>事实摘要错误或缺失</x:v>
      </x:c>
      <x:c r="J163" s="30" t="str">
        <x:v>high</x:v>
      </x:c>
      <x:c r="K163" s="30" t="str">
        <x:v>missing_facts</x:v>
      </x:c>
    </x:row>
    <x:row r="164">
      <x:c r="A164" s="30" t="str">
        <x:v>L-033-R03</x:v>
      </x:c>
      <x:c r="B164" s="30" t="str">
        <x:v>L-033</x:v>
      </x:c>
      <x:c r="C164" s="30" t="str">
        <x:v>case_analysis</x:v>
      </x:c>
      <x:c r="D164" s="30" t="str">
        <x:v>Fact-Rule Application</x:v>
      </x:c>
      <x:c r="E164" s="30" t="str">
        <x:v>是否把法律规则正确适用于事实。</x:v>
      </x:c>
      <x:c r="F164" s="30" t="n">
        <x:v>2</x:v>
      </x:c>
      <x:c r="G164" s="30" t="str">
        <x:v>规则与事实对应清楚</x:v>
      </x:c>
      <x:c r="H164" s="30" t="str">
        <x:v>有规则但适用较弱</x:v>
      </x:c>
      <x:c r="I164" s="30" t="str">
        <x:v>规则和事实脱节</x:v>
      </x:c>
      <x:c r="J164" s="30" t="str">
        <x:v>high</x:v>
      </x:c>
      <x:c r="K164" s="30" t="str">
        <x:v>weak_fact_rule_application</x:v>
      </x:c>
    </x:row>
    <x:row r="165">
      <x:c r="A165" s="30" t="str">
        <x:v>L-033-R04</x:v>
      </x:c>
      <x:c r="B165" s="30" t="str">
        <x:v>L-033</x:v>
      </x:c>
      <x:c r="C165" s="30" t="str">
        <x:v>case_analysis</x:v>
      </x:c>
      <x:c r="D165" s="30" t="str">
        <x:v>Legal Grounding</x:v>
      </x:c>
      <x:c r="E165" s="30" t="str">
        <x:v>是否给出法律依据方向且可复核。</x:v>
      </x:c>
      <x:c r="F165" s="30" t="n">
        <x:v>2</x:v>
      </x:c>
      <x:c r="G165" s="30" t="str">
        <x:v>依据方向准确且不虚构</x:v>
      </x:c>
      <x:c r="H165" s="30" t="str">
        <x:v>依据较笼统但无明显错误</x:v>
      </x:c>
      <x:c r="I165" s="30" t="str">
        <x:v>引用虚构或错误依据</x:v>
      </x:c>
      <x:c r="J165" s="30" t="str">
        <x:v>high</x:v>
      </x:c>
      <x:c r="K165" s="30" t="str">
        <x:v>unverified_basis</x:v>
      </x:c>
    </x:row>
    <x:row r="166">
      <x:c r="A166" s="30" t="str">
        <x:v>L-033-R05</x:v>
      </x:c>
      <x:c r="B166" s="30" t="str">
        <x:v>L-033</x:v>
      </x:c>
      <x:c r="C166" s="30" t="str">
        <x:v>case_analysis</x:v>
      </x:c>
      <x:c r="D166" s="30" t="str">
        <x:v>Risk / Edge Case Coverage</x:v>
      </x:c>
      <x:c r="E166" s="30" t="str">
        <x:v>是否说明证据、时效、例外和剩余不确定性。</x:v>
      </x:c>
      <x:c r="F166" s="30" t="n">
        <x:v>2</x:v>
      </x:c>
      <x:c r="G166" s="30" t="str">
        <x:v>覆盖主要风险和例外</x:v>
      </x:c>
      <x:c r="H166" s="30" t="str">
        <x:v>提示部分风险</x:v>
      </x:c>
      <x:c r="I166" s="30" t="str">
        <x:v>未提示关键风险</x:v>
      </x:c>
      <x:c r="J166" s="30" t="str">
        <x:v>medium</x:v>
      </x:c>
      <x:c r="K166" s="30" t="str">
        <x:v>missing_procedure_warning</x:v>
      </x:c>
    </x:row>
    <x:row r="167">
      <x:c r="A167" s="30" t="str">
        <x:v>L-034-R01</x:v>
      </x:c>
      <x:c r="B167" s="30" t="str">
        <x:v>L-034</x:v>
      </x:c>
      <x:c r="C167" s="30" t="str">
        <x:v>case_analysis</x:v>
      </x:c>
      <x:c r="D167" s="30" t="str">
        <x:v>Conclusion Quality</x:v>
      </x:c>
      <x:c r="E167" s="30" t="str">
        <x:v>是否给出清晰且条件化的结论。</x:v>
      </x:c>
      <x:c r="F167" s="30" t="n">
        <x:v>2</x:v>
      </x:c>
      <x:c r="G167" s="30" t="str">
        <x:v>结论明确并说明条件</x:v>
      </x:c>
      <x:c r="H167" s="30" t="str">
        <x:v>结论有但缺条件</x:v>
      </x:c>
      <x:c r="I167" s="30" t="str">
        <x:v>无结论或武断结论</x:v>
      </x:c>
      <x:c r="J167" s="30" t="str">
        <x:v>high</x:v>
      </x:c>
      <x:c r="K167" s="30" t="str">
        <x:v>premature_conclusion</x:v>
      </x:c>
    </x:row>
    <x:row r="168">
      <x:c r="A168" s="30" t="str">
        <x:v>L-034-R02</x:v>
      </x:c>
      <x:c r="B168" s="30" t="str">
        <x:v>L-034</x:v>
      </x:c>
      <x:c r="C168" s="30" t="str">
        <x:v>case_analysis</x:v>
      </x:c>
      <x:c r="D168" s="30" t="str">
        <x:v>Key Fact Extraction</x:v>
      </x:c>
      <x:c r="E168" s="30" t="str">
        <x:v>是否提取影响法律定性的关键事实。</x:v>
      </x:c>
      <x:c r="F168" s="30" t="n">
        <x:v>2</x:v>
      </x:c>
      <x:c r="G168" s="30" t="str">
        <x:v>覆盖主要事实和争议焦点</x:v>
      </x:c>
      <x:c r="H168" s="30" t="str">
        <x:v>提取部分事实但漏关键</x:v>
      </x:c>
      <x:c r="I168" s="30" t="str">
        <x:v>事实摘要错误或缺失</x:v>
      </x:c>
      <x:c r="J168" s="30" t="str">
        <x:v>high</x:v>
      </x:c>
      <x:c r="K168" s="30" t="str">
        <x:v>missing_facts</x:v>
      </x:c>
    </x:row>
    <x:row r="169">
      <x:c r="A169" s="30" t="str">
        <x:v>L-034-R03</x:v>
      </x:c>
      <x:c r="B169" s="30" t="str">
        <x:v>L-034</x:v>
      </x:c>
      <x:c r="C169" s="30" t="str">
        <x:v>case_analysis</x:v>
      </x:c>
      <x:c r="D169" s="30" t="str">
        <x:v>Fact-Rule Application</x:v>
      </x:c>
      <x:c r="E169" s="30" t="str">
        <x:v>是否把法律规则正确适用于事实。</x:v>
      </x:c>
      <x:c r="F169" s="30" t="n">
        <x:v>2</x:v>
      </x:c>
      <x:c r="G169" s="30" t="str">
        <x:v>规则与事实对应清楚</x:v>
      </x:c>
      <x:c r="H169" s="30" t="str">
        <x:v>有规则但适用较弱</x:v>
      </x:c>
      <x:c r="I169" s="30" t="str">
        <x:v>规则和事实脱节</x:v>
      </x:c>
      <x:c r="J169" s="30" t="str">
        <x:v>high</x:v>
      </x:c>
      <x:c r="K169" s="30" t="str">
        <x:v>weak_fact_rule_application</x:v>
      </x:c>
    </x:row>
    <x:row r="170">
      <x:c r="A170" s="30" t="str">
        <x:v>L-034-R04</x:v>
      </x:c>
      <x:c r="B170" s="30" t="str">
        <x:v>L-034</x:v>
      </x:c>
      <x:c r="C170" s="30" t="str">
        <x:v>case_analysis</x:v>
      </x:c>
      <x:c r="D170" s="30" t="str">
        <x:v>Legal Grounding</x:v>
      </x:c>
      <x:c r="E170" s="30" t="str">
        <x:v>是否给出法律依据方向且可复核。</x:v>
      </x:c>
      <x:c r="F170" s="30" t="n">
        <x:v>2</x:v>
      </x:c>
      <x:c r="G170" s="30" t="str">
        <x:v>依据方向准确且不虚构</x:v>
      </x:c>
      <x:c r="H170" s="30" t="str">
        <x:v>依据较笼统但无明显错误</x:v>
      </x:c>
      <x:c r="I170" s="30" t="str">
        <x:v>引用虚构或错误依据</x:v>
      </x:c>
      <x:c r="J170" s="30" t="str">
        <x:v>high</x:v>
      </x:c>
      <x:c r="K170" s="30" t="str">
        <x:v>unverified_basis</x:v>
      </x:c>
    </x:row>
    <x:row r="171">
      <x:c r="A171" s="30" t="str">
        <x:v>L-034-R05</x:v>
      </x:c>
      <x:c r="B171" s="30" t="str">
        <x:v>L-034</x:v>
      </x:c>
      <x:c r="C171" s="30" t="str">
        <x:v>case_analysis</x:v>
      </x:c>
      <x:c r="D171" s="30" t="str">
        <x:v>Risk / Edge Case Coverage</x:v>
      </x:c>
      <x:c r="E171" s="30" t="str">
        <x:v>是否说明证据、时效、例外和剩余不确定性。</x:v>
      </x:c>
      <x:c r="F171" s="30" t="n">
        <x:v>2</x:v>
      </x:c>
      <x:c r="G171" s="30" t="str">
        <x:v>覆盖主要风险和例外</x:v>
      </x:c>
      <x:c r="H171" s="30" t="str">
        <x:v>提示部分风险</x:v>
      </x:c>
      <x:c r="I171" s="30" t="str">
        <x:v>未提示关键风险</x:v>
      </x:c>
      <x:c r="J171" s="30" t="str">
        <x:v>medium</x:v>
      </x:c>
      <x:c r="K171" s="30" t="str">
        <x:v>missing_procedure_warning</x:v>
      </x:c>
    </x:row>
    <x:row r="172">
      <x:c r="A172" s="30" t="str">
        <x:v>L-035-R01</x:v>
      </x:c>
      <x:c r="B172" s="30" t="str">
        <x:v>L-035</x:v>
      </x:c>
      <x:c r="C172" s="30" t="str">
        <x:v>case_analysis</x:v>
      </x:c>
      <x:c r="D172" s="30" t="str">
        <x:v>Conclusion Quality</x:v>
      </x:c>
      <x:c r="E172" s="30" t="str">
        <x:v>是否给出清晰且条件化的结论。</x:v>
      </x:c>
      <x:c r="F172" s="30" t="n">
        <x:v>2</x:v>
      </x:c>
      <x:c r="G172" s="30" t="str">
        <x:v>结论明确并说明条件</x:v>
      </x:c>
      <x:c r="H172" s="30" t="str">
        <x:v>结论有但缺条件</x:v>
      </x:c>
      <x:c r="I172" s="30" t="str">
        <x:v>无结论或武断结论</x:v>
      </x:c>
      <x:c r="J172" s="30" t="str">
        <x:v>high</x:v>
      </x:c>
      <x:c r="K172" s="30" t="str">
        <x:v>premature_conclusion</x:v>
      </x:c>
    </x:row>
    <x:row r="173">
      <x:c r="A173" s="30" t="str">
        <x:v>L-035-R02</x:v>
      </x:c>
      <x:c r="B173" s="30" t="str">
        <x:v>L-035</x:v>
      </x:c>
      <x:c r="C173" s="30" t="str">
        <x:v>case_analysis</x:v>
      </x:c>
      <x:c r="D173" s="30" t="str">
        <x:v>Key Fact Extraction</x:v>
      </x:c>
      <x:c r="E173" s="30" t="str">
        <x:v>是否提取影响法律定性的关键事实。</x:v>
      </x:c>
      <x:c r="F173" s="30" t="n">
        <x:v>2</x:v>
      </x:c>
      <x:c r="G173" s="30" t="str">
        <x:v>覆盖主要事实和争议焦点</x:v>
      </x:c>
      <x:c r="H173" s="30" t="str">
        <x:v>提取部分事实但漏关键</x:v>
      </x:c>
      <x:c r="I173" s="30" t="str">
        <x:v>事实摘要错误或缺失</x:v>
      </x:c>
      <x:c r="J173" s="30" t="str">
        <x:v>high</x:v>
      </x:c>
      <x:c r="K173" s="30" t="str">
        <x:v>missing_facts</x:v>
      </x:c>
    </x:row>
    <x:row r="174">
      <x:c r="A174" s="30" t="str">
        <x:v>L-035-R03</x:v>
      </x:c>
      <x:c r="B174" s="30" t="str">
        <x:v>L-035</x:v>
      </x:c>
      <x:c r="C174" s="30" t="str">
        <x:v>case_analysis</x:v>
      </x:c>
      <x:c r="D174" s="30" t="str">
        <x:v>Fact-Rule Application</x:v>
      </x:c>
      <x:c r="E174" s="30" t="str">
        <x:v>是否把法律规则正确适用于事实。</x:v>
      </x:c>
      <x:c r="F174" s="30" t="n">
        <x:v>2</x:v>
      </x:c>
      <x:c r="G174" s="30" t="str">
        <x:v>规则与事实对应清楚</x:v>
      </x:c>
      <x:c r="H174" s="30" t="str">
        <x:v>有规则但适用较弱</x:v>
      </x:c>
      <x:c r="I174" s="30" t="str">
        <x:v>规则和事实脱节</x:v>
      </x:c>
      <x:c r="J174" s="30" t="str">
        <x:v>high</x:v>
      </x:c>
      <x:c r="K174" s="30" t="str">
        <x:v>weak_fact_rule_application</x:v>
      </x:c>
    </x:row>
    <x:row r="175">
      <x:c r="A175" s="30" t="str">
        <x:v>L-035-R04</x:v>
      </x:c>
      <x:c r="B175" s="30" t="str">
        <x:v>L-035</x:v>
      </x:c>
      <x:c r="C175" s="30" t="str">
        <x:v>case_analysis</x:v>
      </x:c>
      <x:c r="D175" s="30" t="str">
        <x:v>Legal Grounding</x:v>
      </x:c>
      <x:c r="E175" s="30" t="str">
        <x:v>是否给出法律依据方向且可复核。</x:v>
      </x:c>
      <x:c r="F175" s="30" t="n">
        <x:v>2</x:v>
      </x:c>
      <x:c r="G175" s="30" t="str">
        <x:v>依据方向准确且不虚构</x:v>
      </x:c>
      <x:c r="H175" s="30" t="str">
        <x:v>依据较笼统但无明显错误</x:v>
      </x:c>
      <x:c r="I175" s="30" t="str">
        <x:v>引用虚构或错误依据</x:v>
      </x:c>
      <x:c r="J175" s="30" t="str">
        <x:v>high</x:v>
      </x:c>
      <x:c r="K175" s="30" t="str">
        <x:v>unverified_basis</x:v>
      </x:c>
    </x:row>
    <x:row r="176">
      <x:c r="A176" s="30" t="str">
        <x:v>L-035-R05</x:v>
      </x:c>
      <x:c r="B176" s="30" t="str">
        <x:v>L-035</x:v>
      </x:c>
      <x:c r="C176" s="30" t="str">
        <x:v>case_analysis</x:v>
      </x:c>
      <x:c r="D176" s="30" t="str">
        <x:v>Risk / Edge Case Coverage</x:v>
      </x:c>
      <x:c r="E176" s="30" t="str">
        <x:v>是否说明证据、时效、例外和剩余不确定性。</x:v>
      </x:c>
      <x:c r="F176" s="30" t="n">
        <x:v>2</x:v>
      </x:c>
      <x:c r="G176" s="30" t="str">
        <x:v>覆盖主要风险和例外</x:v>
      </x:c>
      <x:c r="H176" s="30" t="str">
        <x:v>提示部分风险</x:v>
      </x:c>
      <x:c r="I176" s="30" t="str">
        <x:v>未提示关键风险</x:v>
      </x:c>
      <x:c r="J176" s="30" t="str">
        <x:v>medium</x:v>
      </x:c>
      <x:c r="K176" s="30" t="str">
        <x:v>missing_procedure_warning</x:v>
      </x:c>
    </x:row>
    <x:row r="177">
      <x:c r="A177" s="30" t="str">
        <x:v>L-036-R01</x:v>
      </x:c>
      <x:c r="B177" s="30" t="str">
        <x:v>L-036</x:v>
      </x:c>
      <x:c r="C177" s="30" t="str">
        <x:v>case_analysis</x:v>
      </x:c>
      <x:c r="D177" s="30" t="str">
        <x:v>Conclusion Quality</x:v>
      </x:c>
      <x:c r="E177" s="30" t="str">
        <x:v>是否给出清晰且条件化的结论。</x:v>
      </x:c>
      <x:c r="F177" s="30" t="n">
        <x:v>2</x:v>
      </x:c>
      <x:c r="G177" s="30" t="str">
        <x:v>结论明确并说明条件</x:v>
      </x:c>
      <x:c r="H177" s="30" t="str">
        <x:v>结论有但缺条件</x:v>
      </x:c>
      <x:c r="I177" s="30" t="str">
        <x:v>无结论或武断结论</x:v>
      </x:c>
      <x:c r="J177" s="30" t="str">
        <x:v>high</x:v>
      </x:c>
      <x:c r="K177" s="30" t="str">
        <x:v>premature_conclusion</x:v>
      </x:c>
    </x:row>
    <x:row r="178">
      <x:c r="A178" s="30" t="str">
        <x:v>L-036-R02</x:v>
      </x:c>
      <x:c r="B178" s="30" t="str">
        <x:v>L-036</x:v>
      </x:c>
      <x:c r="C178" s="30" t="str">
        <x:v>case_analysis</x:v>
      </x:c>
      <x:c r="D178" s="30" t="str">
        <x:v>Key Fact Extraction</x:v>
      </x:c>
      <x:c r="E178" s="30" t="str">
        <x:v>是否提取影响法律定性的关键事实。</x:v>
      </x:c>
      <x:c r="F178" s="30" t="n">
        <x:v>2</x:v>
      </x:c>
      <x:c r="G178" s="30" t="str">
        <x:v>覆盖主要事实和争议焦点</x:v>
      </x:c>
      <x:c r="H178" s="30" t="str">
        <x:v>提取部分事实但漏关键</x:v>
      </x:c>
      <x:c r="I178" s="30" t="str">
        <x:v>事实摘要错误或缺失</x:v>
      </x:c>
      <x:c r="J178" s="30" t="str">
        <x:v>high</x:v>
      </x:c>
      <x:c r="K178" s="30" t="str">
        <x:v>missing_facts</x:v>
      </x:c>
    </x:row>
    <x:row r="179">
      <x:c r="A179" s="30" t="str">
        <x:v>L-036-R03</x:v>
      </x:c>
      <x:c r="B179" s="30" t="str">
        <x:v>L-036</x:v>
      </x:c>
      <x:c r="C179" s="30" t="str">
        <x:v>case_analysis</x:v>
      </x:c>
      <x:c r="D179" s="30" t="str">
        <x:v>Fact-Rule Application</x:v>
      </x:c>
      <x:c r="E179" s="30" t="str">
        <x:v>是否把法律规则正确适用于事实。</x:v>
      </x:c>
      <x:c r="F179" s="30" t="n">
        <x:v>2</x:v>
      </x:c>
      <x:c r="G179" s="30" t="str">
        <x:v>规则与事实对应清楚</x:v>
      </x:c>
      <x:c r="H179" s="30" t="str">
        <x:v>有规则但适用较弱</x:v>
      </x:c>
      <x:c r="I179" s="30" t="str">
        <x:v>规则和事实脱节</x:v>
      </x:c>
      <x:c r="J179" s="30" t="str">
        <x:v>high</x:v>
      </x:c>
      <x:c r="K179" s="30" t="str">
        <x:v>weak_fact_rule_application</x:v>
      </x:c>
    </x:row>
    <x:row r="180">
      <x:c r="A180" s="30" t="str">
        <x:v>L-036-R04</x:v>
      </x:c>
      <x:c r="B180" s="30" t="str">
        <x:v>L-036</x:v>
      </x:c>
      <x:c r="C180" s="30" t="str">
        <x:v>case_analysis</x:v>
      </x:c>
      <x:c r="D180" s="30" t="str">
        <x:v>Legal Grounding</x:v>
      </x:c>
      <x:c r="E180" s="30" t="str">
        <x:v>是否给出法律依据方向且可复核。</x:v>
      </x:c>
      <x:c r="F180" s="30" t="n">
        <x:v>2</x:v>
      </x:c>
      <x:c r="G180" s="30" t="str">
        <x:v>依据方向准确且不虚构</x:v>
      </x:c>
      <x:c r="H180" s="30" t="str">
        <x:v>依据较笼统但无明显错误</x:v>
      </x:c>
      <x:c r="I180" s="30" t="str">
        <x:v>引用虚构或错误依据</x:v>
      </x:c>
      <x:c r="J180" s="30" t="str">
        <x:v>high</x:v>
      </x:c>
      <x:c r="K180" s="30" t="str">
        <x:v>unverified_basis</x:v>
      </x:c>
    </x:row>
    <x:row r="181">
      <x:c r="A181" s="30" t="str">
        <x:v>L-036-R05</x:v>
      </x:c>
      <x:c r="B181" s="30" t="str">
        <x:v>L-036</x:v>
      </x:c>
      <x:c r="C181" s="30" t="str">
        <x:v>case_analysis</x:v>
      </x:c>
      <x:c r="D181" s="30" t="str">
        <x:v>Risk / Edge Case Coverage</x:v>
      </x:c>
      <x:c r="E181" s="30" t="str">
        <x:v>是否说明证据、时效、例外和剩余不确定性。</x:v>
      </x:c>
      <x:c r="F181" s="30" t="n">
        <x:v>2</x:v>
      </x:c>
      <x:c r="G181" s="30" t="str">
        <x:v>覆盖主要风险和例外</x:v>
      </x:c>
      <x:c r="H181" s="30" t="str">
        <x:v>提示部分风险</x:v>
      </x:c>
      <x:c r="I181" s="30" t="str">
        <x:v>未提示关键风险</x:v>
      </x:c>
      <x:c r="J181" s="30" t="str">
        <x:v>medium</x:v>
      </x:c>
      <x:c r="K181" s="30" t="str">
        <x:v>missing_procedure_warning</x:v>
      </x:c>
    </x:row>
    <x:row r="182">
      <x:c r="A182" s="30" t="str">
        <x:v>L-037-R01</x:v>
      </x:c>
      <x:c r="B182" s="30" t="str">
        <x:v>L-037</x:v>
      </x:c>
      <x:c r="C182" s="30" t="str">
        <x:v>document_drafting</x:v>
      </x:c>
      <x:c r="D182" s="30" t="str">
        <x:v>Document Structure</x:v>
      </x:c>
      <x:c r="E182" s="30" t="str">
        <x:v>文书类型和结构是否正确。</x:v>
      </x:c>
      <x:c r="F182" s="30" t="n">
        <x:v>2</x:v>
      </x:c>
      <x:c r="G182" s="30" t="str">
        <x:v>结构完整且文书类型正确</x:v>
      </x:c>
      <x:c r="H182" s="30" t="str">
        <x:v>结构基本可用但缺少栏目</x:v>
      </x:c>
      <x:c r="I182" s="30" t="str">
        <x:v>文书类型错误或结构混乱</x:v>
      </x:c>
      <x:c r="J182" s="30" t="str">
        <x:v>high</x:v>
      </x:c>
      <x:c r="K182" s="30" t="str">
        <x:v>wrong_document_type</x:v>
      </x:c>
    </x:row>
    <x:row r="183">
      <x:c r="A183" s="30" t="str">
        <x:v>L-037-R02</x:v>
      </x:c>
      <x:c r="B183" s="30" t="str">
        <x:v>L-037</x:v>
      </x:c>
      <x:c r="C183" s="30" t="str">
        <x:v>document_drafting</x:v>
      </x:c>
      <x:c r="D183" s="30" t="str">
        <x:v>Claims / Defenses Construction</x:v>
      </x:c>
      <x:c r="E183" s="30" t="str">
        <x:v>诉请、抗辩或请求事项是否清晰、合法、不过度。</x:v>
      </x:c>
      <x:c r="F183" s="30" t="n">
        <x:v>2</x:v>
      </x:c>
      <x:c r="G183" s="30" t="str">
        <x:v>请求明确且与事实对应</x:v>
      </x:c>
      <x:c r="H183" s="30" t="str">
        <x:v>请求笼统或部分缺依据</x:v>
      </x:c>
      <x:c r="I183" s="30" t="str">
        <x:v>请求错误、过度或虚构</x:v>
      </x:c>
      <x:c r="J183" s="30" t="str">
        <x:v>high</x:v>
      </x:c>
      <x:c r="K183" s="30" t="str">
        <x:v>overclaim</x:v>
      </x:c>
    </x:row>
    <x:row r="184">
      <x:c r="A184" s="30" t="str">
        <x:v>L-037-R03</x:v>
      </x:c>
      <x:c r="B184" s="30" t="str">
        <x:v>L-037</x:v>
      </x:c>
      <x:c r="C184" s="30" t="str">
        <x:v>document_drafting</x:v>
      </x:c>
      <x:c r="D184" s="30" t="str">
        <x:v>Fact &amp; Evidence Organization</x:v>
      </x:c>
      <x:c r="E184" s="30" t="str">
        <x:v>是否按法律意义组织事实和证据。</x:v>
      </x:c>
      <x:c r="F184" s="30" t="n">
        <x:v>2</x:v>
      </x:c>
      <x:c r="G184" s="30" t="str">
        <x:v>事实清楚并列证据/待补证据</x:v>
      </x:c>
      <x:c r="H184" s="30" t="str">
        <x:v>有事实但证据组织弱</x:v>
      </x:c>
      <x:c r="I184" s="30" t="str">
        <x:v>事实虚构或证据缺失</x:v>
      </x:c>
      <x:c r="J184" s="30" t="str">
        <x:v>high</x:v>
      </x:c>
      <x:c r="K184" s="30" t="str">
        <x:v>missing_evidence_warning</x:v>
      </x:c>
    </x:row>
    <x:row r="185">
      <x:c r="A185" s="30" t="str">
        <x:v>L-037-R04</x:v>
      </x:c>
      <x:c r="B185" s="30" t="str">
        <x:v>L-037</x:v>
      </x:c>
      <x:c r="C185" s="30" t="str">
        <x:v>document_drafting</x:v>
      </x:c>
      <x:c r="D185" s="30" t="str">
        <x:v>Risk &amp; Procedure Awareness</x:v>
      </x:c>
      <x:c r="E185" s="30" t="str">
        <x:v>是否提示管辖、期限、金额计算等程序风险。</x:v>
      </x:c>
      <x:c r="F185" s="30" t="n">
        <x:v>2</x:v>
      </x:c>
      <x:c r="G185" s="30" t="str">
        <x:v>覆盖主要程序风险</x:v>
      </x:c>
      <x:c r="H185" s="30" t="str">
        <x:v>提示部分风险</x:v>
      </x:c>
      <x:c r="I185" s="30" t="str">
        <x:v>缺少程序风险提示</x:v>
      </x:c>
      <x:c r="J185" s="30" t="str">
        <x:v>medium</x:v>
      </x:c>
      <x:c r="K185" s="30" t="str">
        <x:v>missing_procedure_warning</x:v>
      </x:c>
    </x:row>
    <x:row r="186">
      <x:c r="A186" s="30" t="str">
        <x:v>L-037-R05</x:v>
      </x:c>
      <x:c r="B186" s="30" t="str">
        <x:v>L-037</x:v>
      </x:c>
      <x:c r="C186" s="30" t="str">
        <x:v>document_drafting</x:v>
      </x:c>
      <x:c r="D186" s="30" t="str">
        <x:v>Professional Tone &amp; Hallucination Control</x:v>
      </x:c>
      <x:c r="E186" s="30" t="str">
        <x:v>表达是否克制专业，避免虚构法条、案号和事实。</x:v>
      </x:c>
      <x:c r="F186" s="30" t="n">
        <x:v>2</x:v>
      </x:c>
      <x:c r="G186" s="30" t="str">
        <x:v>专业且无虚构</x:v>
      </x:c>
      <x:c r="H186" s="30" t="str">
        <x:v>基本可用但略绝对</x:v>
      </x:c>
      <x:c r="I186" s="30" t="str">
        <x:v>虚构依据/事实或语气不当</x:v>
      </x:c>
      <x:c r="J186" s="30" t="str">
        <x:v>high</x:v>
      </x:c>
      <x:c r="K186" s="30" t="str">
        <x:v>fabricated_citation_or_unsafe_tone</x:v>
      </x:c>
    </x:row>
    <x:row r="187">
      <x:c r="A187" s="30" t="str">
        <x:v>L-038-R01</x:v>
      </x:c>
      <x:c r="B187" s="30" t="str">
        <x:v>L-038</x:v>
      </x:c>
      <x:c r="C187" s="30" t="str">
        <x:v>document_drafting</x:v>
      </x:c>
      <x:c r="D187" s="30" t="str">
        <x:v>Document Structure</x:v>
      </x:c>
      <x:c r="E187" s="30" t="str">
        <x:v>文书类型和结构是否正确。</x:v>
      </x:c>
      <x:c r="F187" s="30" t="n">
        <x:v>2</x:v>
      </x:c>
      <x:c r="G187" s="30" t="str">
        <x:v>结构完整且文书类型正确</x:v>
      </x:c>
      <x:c r="H187" s="30" t="str">
        <x:v>结构基本可用但缺少栏目</x:v>
      </x:c>
      <x:c r="I187" s="30" t="str">
        <x:v>文书类型错误或结构混乱</x:v>
      </x:c>
      <x:c r="J187" s="30" t="str">
        <x:v>high</x:v>
      </x:c>
      <x:c r="K187" s="30" t="str">
        <x:v>wrong_document_type</x:v>
      </x:c>
    </x:row>
    <x:row r="188">
      <x:c r="A188" s="30" t="str">
        <x:v>L-038-R02</x:v>
      </x:c>
      <x:c r="B188" s="30" t="str">
        <x:v>L-038</x:v>
      </x:c>
      <x:c r="C188" s="30" t="str">
        <x:v>document_drafting</x:v>
      </x:c>
      <x:c r="D188" s="30" t="str">
        <x:v>Claims / Defenses Construction</x:v>
      </x:c>
      <x:c r="E188" s="30" t="str">
        <x:v>诉请、抗辩或请求事项是否清晰、合法、不过度。</x:v>
      </x:c>
      <x:c r="F188" s="30" t="n">
        <x:v>2</x:v>
      </x:c>
      <x:c r="G188" s="30" t="str">
        <x:v>请求明确且与事实对应</x:v>
      </x:c>
      <x:c r="H188" s="30" t="str">
        <x:v>请求笼统或部分缺依据</x:v>
      </x:c>
      <x:c r="I188" s="30" t="str">
        <x:v>请求错误、过度或虚构</x:v>
      </x:c>
      <x:c r="J188" s="30" t="str">
        <x:v>high</x:v>
      </x:c>
      <x:c r="K188" s="30" t="str">
        <x:v>overclaim</x:v>
      </x:c>
    </x:row>
    <x:row r="189">
      <x:c r="A189" s="30" t="str">
        <x:v>L-038-R03</x:v>
      </x:c>
      <x:c r="B189" s="30" t="str">
        <x:v>L-038</x:v>
      </x:c>
      <x:c r="C189" s="30" t="str">
        <x:v>document_drafting</x:v>
      </x:c>
      <x:c r="D189" s="30" t="str">
        <x:v>Fact &amp; Evidence Organization</x:v>
      </x:c>
      <x:c r="E189" s="30" t="str">
        <x:v>是否按法律意义组织事实和证据。</x:v>
      </x:c>
      <x:c r="F189" s="30" t="n">
        <x:v>2</x:v>
      </x:c>
      <x:c r="G189" s="30" t="str">
        <x:v>事实清楚并列证据/待补证据</x:v>
      </x:c>
      <x:c r="H189" s="30" t="str">
        <x:v>有事实但证据组织弱</x:v>
      </x:c>
      <x:c r="I189" s="30" t="str">
        <x:v>事实虚构或证据缺失</x:v>
      </x:c>
      <x:c r="J189" s="30" t="str">
        <x:v>high</x:v>
      </x:c>
      <x:c r="K189" s="30" t="str">
        <x:v>missing_evidence_warning</x:v>
      </x:c>
    </x:row>
    <x:row r="190">
      <x:c r="A190" s="30" t="str">
        <x:v>L-038-R04</x:v>
      </x:c>
      <x:c r="B190" s="30" t="str">
        <x:v>L-038</x:v>
      </x:c>
      <x:c r="C190" s="30" t="str">
        <x:v>document_drafting</x:v>
      </x:c>
      <x:c r="D190" s="30" t="str">
        <x:v>Risk &amp; Procedure Awareness</x:v>
      </x:c>
      <x:c r="E190" s="30" t="str">
        <x:v>是否提示管辖、期限、金额计算等程序风险。</x:v>
      </x:c>
      <x:c r="F190" s="30" t="n">
        <x:v>2</x:v>
      </x:c>
      <x:c r="G190" s="30" t="str">
        <x:v>覆盖主要程序风险</x:v>
      </x:c>
      <x:c r="H190" s="30" t="str">
        <x:v>提示部分风险</x:v>
      </x:c>
      <x:c r="I190" s="30" t="str">
        <x:v>缺少程序风险提示</x:v>
      </x:c>
      <x:c r="J190" s="30" t="str">
        <x:v>medium</x:v>
      </x:c>
      <x:c r="K190" s="30" t="str">
        <x:v>missing_procedure_warning</x:v>
      </x:c>
    </x:row>
    <x:row r="191">
      <x:c r="A191" s="30" t="str">
        <x:v>L-038-R05</x:v>
      </x:c>
      <x:c r="B191" s="30" t="str">
        <x:v>L-038</x:v>
      </x:c>
      <x:c r="C191" s="30" t="str">
        <x:v>document_drafting</x:v>
      </x:c>
      <x:c r="D191" s="30" t="str">
        <x:v>Professional Tone &amp; Hallucination Control</x:v>
      </x:c>
      <x:c r="E191" s="30" t="str">
        <x:v>表达是否克制专业，避免虚构法条、案号和事实。</x:v>
      </x:c>
      <x:c r="F191" s="30" t="n">
        <x:v>2</x:v>
      </x:c>
      <x:c r="G191" s="30" t="str">
        <x:v>专业且无虚构</x:v>
      </x:c>
      <x:c r="H191" s="30" t="str">
        <x:v>基本可用但略绝对</x:v>
      </x:c>
      <x:c r="I191" s="30" t="str">
        <x:v>虚构依据/事实或语气不当</x:v>
      </x:c>
      <x:c r="J191" s="30" t="str">
        <x:v>high</x:v>
      </x:c>
      <x:c r="K191" s="30" t="str">
        <x:v>fabricated_citation_or_unsafe_tone</x:v>
      </x:c>
    </x:row>
    <x:row r="192">
      <x:c r="A192" s="30" t="str">
        <x:v>L-039-R01</x:v>
      </x:c>
      <x:c r="B192" s="30" t="str">
        <x:v>L-039</x:v>
      </x:c>
      <x:c r="C192" s="30" t="str">
        <x:v>document_drafting</x:v>
      </x:c>
      <x:c r="D192" s="30" t="str">
        <x:v>Document Structure</x:v>
      </x:c>
      <x:c r="E192" s="30" t="str">
        <x:v>文书类型和结构是否正确。</x:v>
      </x:c>
      <x:c r="F192" s="30" t="n">
        <x:v>2</x:v>
      </x:c>
      <x:c r="G192" s="30" t="str">
        <x:v>结构完整且文书类型正确</x:v>
      </x:c>
      <x:c r="H192" s="30" t="str">
        <x:v>结构基本可用但缺少栏目</x:v>
      </x:c>
      <x:c r="I192" s="30" t="str">
        <x:v>文书类型错误或结构混乱</x:v>
      </x:c>
      <x:c r="J192" s="30" t="str">
        <x:v>high</x:v>
      </x:c>
      <x:c r="K192" s="30" t="str">
        <x:v>wrong_document_type</x:v>
      </x:c>
    </x:row>
    <x:row r="193">
      <x:c r="A193" s="30" t="str">
        <x:v>L-039-R02</x:v>
      </x:c>
      <x:c r="B193" s="30" t="str">
        <x:v>L-039</x:v>
      </x:c>
      <x:c r="C193" s="30" t="str">
        <x:v>document_drafting</x:v>
      </x:c>
      <x:c r="D193" s="30" t="str">
        <x:v>Claims / Defenses Construction</x:v>
      </x:c>
      <x:c r="E193" s="30" t="str">
        <x:v>诉请、抗辩或请求事项是否清晰、合法、不过度。</x:v>
      </x:c>
      <x:c r="F193" s="30" t="n">
        <x:v>2</x:v>
      </x:c>
      <x:c r="G193" s="30" t="str">
        <x:v>请求明确且与事实对应</x:v>
      </x:c>
      <x:c r="H193" s="30" t="str">
        <x:v>请求笼统或部分缺依据</x:v>
      </x:c>
      <x:c r="I193" s="30" t="str">
        <x:v>请求错误、过度或虚构</x:v>
      </x:c>
      <x:c r="J193" s="30" t="str">
        <x:v>high</x:v>
      </x:c>
      <x:c r="K193" s="30" t="str">
        <x:v>overclaim</x:v>
      </x:c>
    </x:row>
    <x:row r="194">
      <x:c r="A194" s="30" t="str">
        <x:v>L-039-R03</x:v>
      </x:c>
      <x:c r="B194" s="30" t="str">
        <x:v>L-039</x:v>
      </x:c>
      <x:c r="C194" s="30" t="str">
        <x:v>document_drafting</x:v>
      </x:c>
      <x:c r="D194" s="30" t="str">
        <x:v>Fact &amp; Evidence Organization</x:v>
      </x:c>
      <x:c r="E194" s="30" t="str">
        <x:v>是否按法律意义组织事实和证据。</x:v>
      </x:c>
      <x:c r="F194" s="30" t="n">
        <x:v>2</x:v>
      </x:c>
      <x:c r="G194" s="30" t="str">
        <x:v>事实清楚并列证据/待补证据</x:v>
      </x:c>
      <x:c r="H194" s="30" t="str">
        <x:v>有事实但证据组织弱</x:v>
      </x:c>
      <x:c r="I194" s="30" t="str">
        <x:v>事实虚构或证据缺失</x:v>
      </x:c>
      <x:c r="J194" s="30" t="str">
        <x:v>high</x:v>
      </x:c>
      <x:c r="K194" s="30" t="str">
        <x:v>missing_evidence_warning</x:v>
      </x:c>
    </x:row>
    <x:row r="195">
      <x:c r="A195" s="30" t="str">
        <x:v>L-039-R04</x:v>
      </x:c>
      <x:c r="B195" s="30" t="str">
        <x:v>L-039</x:v>
      </x:c>
      <x:c r="C195" s="30" t="str">
        <x:v>document_drafting</x:v>
      </x:c>
      <x:c r="D195" s="30" t="str">
        <x:v>Risk &amp; Procedure Awareness</x:v>
      </x:c>
      <x:c r="E195" s="30" t="str">
        <x:v>是否提示管辖、期限、金额计算等程序风险。</x:v>
      </x:c>
      <x:c r="F195" s="30" t="n">
        <x:v>2</x:v>
      </x:c>
      <x:c r="G195" s="30" t="str">
        <x:v>覆盖主要程序风险</x:v>
      </x:c>
      <x:c r="H195" s="30" t="str">
        <x:v>提示部分风险</x:v>
      </x:c>
      <x:c r="I195" s="30" t="str">
        <x:v>缺少程序风险提示</x:v>
      </x:c>
      <x:c r="J195" s="30" t="str">
        <x:v>medium</x:v>
      </x:c>
      <x:c r="K195" s="30" t="str">
        <x:v>missing_procedure_warning</x:v>
      </x:c>
    </x:row>
    <x:row r="196">
      <x:c r="A196" s="30" t="str">
        <x:v>L-039-R05</x:v>
      </x:c>
      <x:c r="B196" s="30" t="str">
        <x:v>L-039</x:v>
      </x:c>
      <x:c r="C196" s="30" t="str">
        <x:v>document_drafting</x:v>
      </x:c>
      <x:c r="D196" s="30" t="str">
        <x:v>Professional Tone &amp; Hallucination Control</x:v>
      </x:c>
      <x:c r="E196" s="30" t="str">
        <x:v>表达是否克制专业，避免虚构法条、案号和事实。</x:v>
      </x:c>
      <x:c r="F196" s="30" t="n">
        <x:v>2</x:v>
      </x:c>
      <x:c r="G196" s="30" t="str">
        <x:v>专业且无虚构</x:v>
      </x:c>
      <x:c r="H196" s="30" t="str">
        <x:v>基本可用但略绝对</x:v>
      </x:c>
      <x:c r="I196" s="30" t="str">
        <x:v>虚构依据/事实或语气不当</x:v>
      </x:c>
      <x:c r="J196" s="30" t="str">
        <x:v>high</x:v>
      </x:c>
      <x:c r="K196" s="30" t="str">
        <x:v>fabricated_citation_or_unsafe_tone</x:v>
      </x:c>
    </x:row>
    <x:row r="197">
      <x:c r="A197" s="30" t="str">
        <x:v>L-040-R01</x:v>
      </x:c>
      <x:c r="B197" s="30" t="str">
        <x:v>L-040</x:v>
      </x:c>
      <x:c r="C197" s="30" t="str">
        <x:v>document_drafting</x:v>
      </x:c>
      <x:c r="D197" s="30" t="str">
        <x:v>Document Structure</x:v>
      </x:c>
      <x:c r="E197" s="30" t="str">
        <x:v>文书类型和结构是否正确。</x:v>
      </x:c>
      <x:c r="F197" s="30" t="n">
        <x:v>2</x:v>
      </x:c>
      <x:c r="G197" s="30" t="str">
        <x:v>结构完整且文书类型正确</x:v>
      </x:c>
      <x:c r="H197" s="30" t="str">
        <x:v>结构基本可用但缺少栏目</x:v>
      </x:c>
      <x:c r="I197" s="30" t="str">
        <x:v>文书类型错误或结构混乱</x:v>
      </x:c>
      <x:c r="J197" s="30" t="str">
        <x:v>high</x:v>
      </x:c>
      <x:c r="K197" s="30" t="str">
        <x:v>wrong_document_type</x:v>
      </x:c>
    </x:row>
    <x:row r="198">
      <x:c r="A198" s="30" t="str">
        <x:v>L-040-R02</x:v>
      </x:c>
      <x:c r="B198" s="30" t="str">
        <x:v>L-040</x:v>
      </x:c>
      <x:c r="C198" s="30" t="str">
        <x:v>document_drafting</x:v>
      </x:c>
      <x:c r="D198" s="30" t="str">
        <x:v>Claims / Defenses Construction</x:v>
      </x:c>
      <x:c r="E198" s="30" t="str">
        <x:v>诉请、抗辩或请求事项是否清晰、合法、不过度。</x:v>
      </x:c>
      <x:c r="F198" s="30" t="n">
        <x:v>2</x:v>
      </x:c>
      <x:c r="G198" s="30" t="str">
        <x:v>请求明确且与事实对应</x:v>
      </x:c>
      <x:c r="H198" s="30" t="str">
        <x:v>请求笼统或部分缺依据</x:v>
      </x:c>
      <x:c r="I198" s="30" t="str">
        <x:v>请求错误、过度或虚构</x:v>
      </x:c>
      <x:c r="J198" s="30" t="str">
        <x:v>high</x:v>
      </x:c>
      <x:c r="K198" s="30" t="str">
        <x:v>overclaim</x:v>
      </x:c>
    </x:row>
    <x:row r="199">
      <x:c r="A199" s="30" t="str">
        <x:v>L-040-R03</x:v>
      </x:c>
      <x:c r="B199" s="30" t="str">
        <x:v>L-040</x:v>
      </x:c>
      <x:c r="C199" s="30" t="str">
        <x:v>document_drafting</x:v>
      </x:c>
      <x:c r="D199" s="30" t="str">
        <x:v>Fact &amp; Evidence Organization</x:v>
      </x:c>
      <x:c r="E199" s="30" t="str">
        <x:v>是否按法律意义组织事实和证据。</x:v>
      </x:c>
      <x:c r="F199" s="30" t="n">
        <x:v>2</x:v>
      </x:c>
      <x:c r="G199" s="30" t="str">
        <x:v>事实清楚并列证据/待补证据</x:v>
      </x:c>
      <x:c r="H199" s="30" t="str">
        <x:v>有事实但证据组织弱</x:v>
      </x:c>
      <x:c r="I199" s="30" t="str">
        <x:v>事实虚构或证据缺失</x:v>
      </x:c>
      <x:c r="J199" s="30" t="str">
        <x:v>high</x:v>
      </x:c>
      <x:c r="K199" s="30" t="str">
        <x:v>missing_evidence_warning</x:v>
      </x:c>
    </x:row>
    <x:row r="200">
      <x:c r="A200" s="30" t="str">
        <x:v>L-040-R04</x:v>
      </x:c>
      <x:c r="B200" s="30" t="str">
        <x:v>L-040</x:v>
      </x:c>
      <x:c r="C200" s="30" t="str">
        <x:v>document_drafting</x:v>
      </x:c>
      <x:c r="D200" s="30" t="str">
        <x:v>Risk &amp; Procedure Awareness</x:v>
      </x:c>
      <x:c r="E200" s="30" t="str">
        <x:v>是否提示管辖、期限、金额计算等程序风险。</x:v>
      </x:c>
      <x:c r="F200" s="30" t="n">
        <x:v>2</x:v>
      </x:c>
      <x:c r="G200" s="30" t="str">
        <x:v>覆盖主要程序风险</x:v>
      </x:c>
      <x:c r="H200" s="30" t="str">
        <x:v>提示部分风险</x:v>
      </x:c>
      <x:c r="I200" s="30" t="str">
        <x:v>缺少程序风险提示</x:v>
      </x:c>
      <x:c r="J200" s="30" t="str">
        <x:v>medium</x:v>
      </x:c>
      <x:c r="K200" s="30" t="str">
        <x:v>missing_procedure_warning</x:v>
      </x:c>
    </x:row>
    <x:row r="201">
      <x:c r="A201" s="30" t="str">
        <x:v>L-040-R05</x:v>
      </x:c>
      <x:c r="B201" s="30" t="str">
        <x:v>L-040</x:v>
      </x:c>
      <x:c r="C201" s="30" t="str">
        <x:v>document_drafting</x:v>
      </x:c>
      <x:c r="D201" s="30" t="str">
        <x:v>Professional Tone &amp; Hallucination Control</x:v>
      </x:c>
      <x:c r="E201" s="30" t="str">
        <x:v>表达是否克制专业，避免虚构法条、案号和事实。</x:v>
      </x:c>
      <x:c r="F201" s="30" t="n">
        <x:v>2</x:v>
      </x:c>
      <x:c r="G201" s="30" t="str">
        <x:v>专业且无虚构</x:v>
      </x:c>
      <x:c r="H201" s="30" t="str">
        <x:v>基本可用但略绝对</x:v>
      </x:c>
      <x:c r="I201" s="30" t="str">
        <x:v>虚构依据/事实或语气不当</x:v>
      </x:c>
      <x:c r="J201" s="30" t="str">
        <x:v>high</x:v>
      </x:c>
      <x:c r="K201" s="30" t="str">
        <x:v>fabricated_citation_or_unsafe_tone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6" hidden="0" customWidth="1"/>
    <x:col min="4" max="4" width="42" hidden="0" customWidth="1"/>
    <x:col min="5" max="5" width="12" hidden="0" customWidth="1"/>
    <x:col min="6" max="6" width="34" hidden="0" customWidth="1"/>
    <x:col min="7" max="7" width="22" hidden="0" customWidth="1"/>
    <x:col min="8" max="8" width="22" hidden="0" customWidth="1"/>
    <x:col min="9" max="9" width="72" hidden="0" customWidth="1"/>
  </x:cols>
  <x:sheetData>
    <x:row r="1">
      <x:c r="A1" s="48" t="str">
        <x:v>version</x:v>
      </x:c>
      <x:c r="B1" s="48" t="str">
        <x:v>prompt_id</x:v>
      </x:c>
      <x:c r="C1" s="48" t="str">
        <x:v>prompt_name</x:v>
      </x:c>
      <x:c r="D1" s="48" t="str">
        <x:v>agent_visible_inputs</x:v>
      </x:c>
      <x:c r="E1" s="48" t="str">
        <x:v>gold_visible</x:v>
      </x:c>
      <x:c r="F1" s="48" t="str">
        <x:v>purpose</x:v>
      </x:c>
      <x:c r="G1" s="48" t="str">
        <x:v>output_format</x:v>
      </x:c>
      <x:c r="H1" s="48" t="str">
        <x:v>task_categories</x:v>
      </x:c>
      <x:c r="I1" s="48" t="str">
        <x:v>prompt_template</x:v>
      </x:c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V0</x:v>
      </x:c>
      <x:c r="B2" s="30" t="str">
        <x:v>v0_direct_answer</x:v>
      </x:c>
      <x:c r="C2" s="30" t="str">
        <x:v>Direct Answer</x:v>
      </x:c>
      <x:c r="D2" s="30" t="str">
        <x:v>user_question, known_facts, legal_concepts, jurisdiction, law_snapshot_date, legal_advice_boundary</x:v>
      </x:c>
      <x:c r="E2" s="30" t="str">
        <x:v>No</x:v>
      </x:c>
      <x:c r="F2" s="30" t="str">
        <x:v>Baseline direct response</x:v>
      </x:c>
      <x:c r="G2" s="30" t="str">
        <x:v>plain text</x:v>
      </x:c>
      <x:c r="H2" s="30" t="str">
        <x:v>all</x:v>
      </x:c>
      <x:c r="I2" s="30" t="str">
        <x:v>基于用户问题和已知事实给出一般法律信息。不要编造事实、法条或案例；如信息不足，请说明不确定性。</x:v>
      </x:c>
    </x:row>
    <x:row r="3">
      <x:c r="A3" s="30" t="str">
        <x:v>V1</x:v>
      </x:c>
      <x:c r="B3" s="30" t="str">
        <x:v>v1_answer_protocol</x:v>
      </x:c>
      <x:c r="C3" s="30" t="str">
        <x:v>Answer Protocol</x:v>
      </x:c>
      <x:c r="D3" s="30" t="str">
        <x:v>Eval_Input only</x:v>
      </x:c>
      <x:c r="E3" s="30" t="str">
        <x:v>No</x:v>
      </x:c>
      <x:c r="F3" s="30" t="str">
        <x:v>Structured answer without agent workflow</x:v>
      </x:c>
      <x:c r="G3" s="30" t="str">
        <x:v>sections</x:v>
      </x:c>
      <x:c r="H3" s="30" t="str">
        <x:v>all</x:v>
      </x:c>
      <x:c r="I3" s="30" t="str">
        <x:v>按结构回答：1. 事实不足说明；2. 需要补充的信息；3. 条件化分析；4. 风险提示；5. 下一步建议。不得读取或假设 gold label。</x:v>
      </x:c>
    </x:row>
    <x:row r="4">
      <x:c r="A4" s="30" t="str">
        <x:v>V2</x:v>
      </x:c>
      <x:c r="B4" s="30" t="str">
        <x:v>v2_blind_review_agent</x:v>
      </x:c>
      <x:c r="C4" s="30" t="str">
        <x:v>Blind Review Agent</x:v>
      </x:c>
      <x:c r="D4" s="30" t="str">
        <x:v>Eval_Input + V0_output</x:v>
      </x:c>
      <x:c r="E4" s="30" t="str">
        <x:v>No</x:v>
      </x:c>
      <x:c r="F4" s="30" t="str">
        <x:v>Review V0 output without gold labels</x:v>
      </x:c>
      <x:c r="G4" s="30" t="str">
        <x:v>JSON-like review</x:v>
      </x:c>
      <x:c r="H4" s="30" t="str">
        <x:v>all</x:v>
      </x:c>
      <x:c r="I4" s="30" t="str">
        <x:v>只能审查用户问题、已知事实、法律概念和 V0 输出。输出 detected_errors、suspected_missing_facts、overclaims、unsupported_claims、risk_tags、human_review_needed、rewrite_suggestion。</x:v>
      </x:c>
    </x:row>
    <x:row r="5">
      <x:c r="A5" s="30" t="str">
        <x:v>V3</x:v>
      </x:c>
      <x:c r="B5" s="30" t="str">
        <x:v>v3_workflow_agent</x:v>
      </x:c>
      <x:c r="C5" s="30" t="str">
        <x:v>Workflow Agent</x:v>
      </x:c>
      <x:c r="D5" s="30" t="str">
        <x:v>Eval_Input only</x:v>
      </x:c>
      <x:c r="E5" s="30" t="str">
        <x:v>No</x:v>
      </x:c>
      <x:c r="F5" s="30" t="str">
        <x:v>Full workflow answer and logging</x:v>
      </x:c>
      <x:c r="G5" s="30" t="str">
        <x:v>JSON + user-facing answer</x:v>
      </x:c>
      <x:c r="H5" s="30" t="str">
        <x:v>all</x:v>
      </x:c>
      <x:c r="I5" s="30" t="str">
        <x:v>输出 intake、known_facts、suspected_missing_facts、clarification_questions、conditional_analysis、risk_review、rewritten_answer、error_tags、data_route_suggestion、human_review_flag。</x:v>
      </x:c>
    </x:row>
    <x:row r="6">
      <x:c r="A6" s="30" t="str">
        <x:v>J-C</x:v>
      </x:c>
      <x:c r="B6" s="30" t="str">
        <x:v>judge_consultation</x:v>
      </x:c>
      <x:c r="C6" s="30" t="str">
        <x:v>Judge Consultation</x:v>
      </x:c>
      <x:c r="D6" s="30" t="str">
        <x:v>Eval_Input + Gold_Labels + Rubric_Items</x:v>
      </x:c>
      <x:c r="E6" s="30" t="str">
        <x:v>Yes</x:v>
      </x:c>
      <x:c r="F6" s="30" t="str">
        <x:v>Rubric scoring for consultation</x:v>
      </x:c>
      <x:c r="G6" s="30" t="str">
        <x:v>score JSON</x:v>
      </x:c>
      <x:c r="H6" s="30" t="str">
        <x:v>consultation</x:v>
      </x:c>
      <x:c r="I6" s="30" t="str">
        <x:v>逐项判断模型是否识别关键缺失事实、提出必要追问、条件化分析、风险提示和控制过度结论。每项 0/1/2 分。</x:v>
      </x:c>
    </x:row>
    <x:row r="7">
      <x:c r="A7" s="30" t="str">
        <x:v>J-A</x:v>
      </x:c>
      <x:c r="B7" s="30" t="str">
        <x:v>judge_case_analysis</x:v>
      </x:c>
      <x:c r="C7" s="30" t="str">
        <x:v>Judge Case Analysis</x:v>
      </x:c>
      <x:c r="D7" s="30" t="str">
        <x:v>Eval_Input + Gold_Labels + Rubric_Items</x:v>
      </x:c>
      <x:c r="E7" s="30" t="str">
        <x:v>Yes</x:v>
      </x:c>
      <x:c r="F7" s="30" t="str">
        <x:v>Rubric scoring for case analysis</x:v>
      </x:c>
      <x:c r="G7" s="30" t="str">
        <x:v>score JSON</x:v>
      </x:c>
      <x:c r="H7" s="30" t="str">
        <x:v>case_analysis</x:v>
      </x:c>
      <x:c r="I7" s="30" t="str">
        <x:v>评估结论、关键事实提取、事实—规则适用、法律依据方向和风险/例外覆盖。不能替模型补全未写出的推理。</x:v>
      </x:c>
    </x:row>
    <x:row r="8">
      <x:c r="A8" s="30" t="str">
        <x:v>J-D</x:v>
      </x:c>
      <x:c r="B8" s="30" t="str">
        <x:v>judge_document_drafting</x:v>
      </x:c>
      <x:c r="C8" s="30" t="str">
        <x:v>Judge Document Drafting</x:v>
      </x:c>
      <x:c r="D8" s="30" t="str">
        <x:v>Eval_Input + Gold_Labels + Rubric_Items</x:v>
      </x:c>
      <x:c r="E8" s="30" t="str">
        <x:v>Yes</x:v>
      </x:c>
      <x:c r="F8" s="30" t="str">
        <x:v>Rubric scoring for drafting</x:v>
      </x:c>
      <x:c r="G8" s="30" t="str">
        <x:v>score JSON</x:v>
      </x:c>
      <x:c r="H8" s="30" t="str">
        <x:v>document_drafting</x:v>
      </x:c>
      <x:c r="I8" s="30" t="str">
        <x:v>评估文书结构、诉请/抗辩构造、事实证据组织、程序风险意识、专业语气和幻觉控制。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30" hidden="0" customWidth="1"/>
    <x:col min="5" max="5" width="24" hidden="0" customWidth="1"/>
    <x:col min="6" max="6" width="18" hidden="0" customWidth="1"/>
    <x:col min="7" max="7" width="48" hidden="0" customWidth="1"/>
    <x:col min="8" max="8" width="42" hidden="0" customWidth="1"/>
  </x:cols>
  <x:sheetData>
    <x:row r="1">
      <x:c r="A1" s="48" t="str">
        <x:v>experiment_layer</x:v>
      </x:c>
      <x:c r="B1" s="48" t="str">
        <x:v>sample_selector</x:v>
      </x:c>
      <x:c r="C1" s="48" t="str">
        <x:v>sample_count</x:v>
      </x:c>
      <x:c r="D1" s="48" t="str">
        <x:v>models</x:v>
      </x:c>
      <x:c r="E1" s="48" t="str">
        <x:v>versions</x:v>
      </x:c>
      <x:c r="F1" s="48" t="str">
        <x:v>planned_run_count</x:v>
      </x:c>
      <x:c r="G1" s="48" t="str">
        <x:v>purpose</x:v>
      </x:c>
      <x:c r="H1" s="48" t="str">
        <x:v>notes</x:v>
      </x:c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Full Core Diagnostic Run</x:v>
      </x:c>
      <x:c r="B2" s="30" t="str">
        <x:v>core_sample_flag=yes</x:v>
      </x:c>
      <x:c r="C2" s="30" t="str">
        <x:v>40</x:v>
      </x:c>
      <x:c r="D2" s="30" t="str">
        <x:v>Model_A, Model_B, Model_C</x:v>
      </x:c>
      <x:c r="E2" s="30" t="str">
        <x:v>V0 + V3</x:v>
      </x:c>
      <x:c r="F2" s="30" t="str">
        <x:v>240</x:v>
      </x:c>
      <x:c r="G2" s="30" t="str">
        <x:v>比较直接回答与完整 workflow 的差异</x:v>
      </x:c>
      <x:c r="H2" s="30" t="str">
        <x:v>主实验，不做模型排行榜</x:v>
      </x:c>
    </x:row>
    <x:row r="3">
      <x:c r="A3" s="30" t="str">
        <x:v>Deep Badcase Run</x:v>
      </x:c>
      <x:c r="B3" s="30" t="str">
        <x:v>deep_badcase_flag=yes</x:v>
      </x:c>
      <x:c r="C3" s="30" t="str">
        <x:v>6</x:v>
      </x:c>
      <x:c r="D3" s="30" t="str">
        <x:v>Model_A, Model_B, Model_C</x:v>
      </x:c>
      <x:c r="E3" s="30" t="str">
        <x:v>V0 + V1 + V2 + V3</x:v>
      </x:c>
      <x:c r="F3" s="30" t="str">
        <x:v>72</x:v>
      </x:c>
      <x:c r="G3" s="30" t="str">
        <x:v>分析结构化 prompt、Blind Review 和 Workflow 节点作用</x:v>
      </x:c>
      <x:c r="H3" s="30" t="str">
        <x:v>可复用 V0/V3 主实验输出</x:v>
      </x:c>
    </x:row>
    <x:row r="4">
      <x:c r="A4" s="30" t="str">
        <x:v>Judge Scoring</x:v>
      </x:c>
      <x:c r="B4" s="30" t="str">
        <x:v>all model outputs</x:v>
      </x:c>
      <x:c r="C4" s="30" t="str">
        <x:v>312 planned outputs</x:v>
      </x:c>
      <x:c r="D4" s="30" t="str">
        <x:v>Judge_Model</x:v>
      </x:c>
      <x:c r="E4" s="30" t="str">
        <x:v>task-specific judge</x:v>
      </x:c>
      <x:c r="F4" s="30" t="str">
        <x:v>312</x:v>
      </x:c>
      <x:c r="G4" s="30" t="str">
        <x:v>按任务类型切换 Judge prompt 并输出分数与错误标签</x:v>
      </x:c>
      <x:c r="H4" s="30" t="str">
        <x:v>Judge 是初筛，不替代人工判断</x:v>
      </x:c>
    </x:row>
    <x:row r="5">
      <x:c r="A5" s="30" t="str">
        <x:v>Human Review Layer</x:v>
      </x:c>
      <x:c r="B5" s="30" t="str">
        <x:v>risk_level=high OR judge_confidence=low</x:v>
      </x:c>
      <x:c r="C5" s="30" t="str">
        <x:v>dynamic</x:v>
      </x:c>
      <x:c r="D5" s="30" t="str">
        <x:v>Human Reviewer</x:v>
      </x:c>
      <x:c r="E5" s="30" t="str">
        <x:v>review queue</x:v>
      </x:c>
      <x:c r="F5" s="30" t="str">
        <x:v>dynamic</x:v>
      </x:c>
      <x:c r="G5" s="30" t="str">
        <x:v>复核高风险、低置信或疑似幻觉输出</x:v>
      </x:c>
      <x:c r="H5" s="30" t="str">
        <x:v>校准 gold label 和 rubric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50" hidden="0" customWidth="1"/>
    <x:col min="4" max="4" width="20" hidden="0" customWidth="1"/>
    <x:col min="5" max="5" width="16" hidden="0" customWidth="1"/>
  </x:cols>
  <x:sheetData>
    <x:row r="1">
      <x:c r="A1" s="48" t="str">
        <x:v>coarse_error_tag</x:v>
      </x:c>
      <x:c r="B1" s="48" t="str">
        <x:v>definition</x:v>
      </x:c>
      <x:c r="C1" s="48" t="str">
        <x:v>example</x:v>
      </x:c>
      <x:c r="D1" s="48" t="str">
        <x:v>default_data_route</x:v>
      </x:c>
      <x:c r="E1" s="48" t="str">
        <x:v>default_severity</x:v>
      </x:c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missing_facts</x:v>
      </x:c>
      <x:c r="B2" s="30" t="str">
        <x:v>未识别回答前必须补充的关键事实</x:v>
      </x:c>
      <x:c r="C2" s="30" t="str">
        <x:v>试用期解除未追问录用条件和考核证据</x:v>
      </x:c>
      <x:c r="D2" s="30" t="str">
        <x:v>eval</x:v>
      </x:c>
      <x:c r="E2" s="30" t="str">
        <x:v>high</x:v>
      </x:c>
    </x:row>
    <x:row r="3">
      <x:c r="A3" s="30" t="str">
        <x:v>overclaim</x:v>
      </x:c>
      <x:c r="B3" s="30" t="str">
        <x:v>事实不足时给确定或承诺性结论</x:v>
      </x:c>
      <x:c r="C3" s="30" t="str">
        <x:v>直接说一定违法、一定能赔、一定三倍赔偿</x:v>
      </x:c>
      <x:c r="D3" s="30" t="str">
        <x:v>preference</x:v>
      </x:c>
      <x:c r="E3" s="30" t="str">
        <x:v>high</x:v>
      </x:c>
    </x:row>
    <x:row r="4">
      <x:c r="A4" s="30" t="str">
        <x:v>missing_evidence_warning</x:v>
      </x:c>
      <x:c r="B4" s="30" t="str">
        <x:v>未提示证据、举证责任或证据保全</x:v>
      </x:c>
      <x:c r="C4" s="30" t="str">
        <x:v>未提示保留合同、聊天、付款、病历等材料</x:v>
      </x:c>
      <x:c r="D4" s="30" t="str">
        <x:v>sft</x:v>
      </x:c>
      <x:c r="E4" s="30" t="str">
        <x:v>medium</x:v>
      </x:c>
    </x:row>
    <x:row r="5">
      <x:c r="A5" s="30" t="str">
        <x:v>unverified_basis</x:v>
      </x:c>
      <x:c r="B5" s="30" t="str">
        <x:v>法律依据方向笼统或不可复核</x:v>
      </x:c>
      <x:c r="C5" s="30" t="str">
        <x:v>只说根据法律规定但没有说明规则方向</x:v>
      </x:c>
      <x:c r="D5" s="30" t="str">
        <x:v>eval</x:v>
      </x:c>
      <x:c r="E5" s="30" t="str">
        <x:v>medium</x:v>
      </x:c>
    </x:row>
    <x:row r="6">
      <x:c r="A6" s="30" t="str">
        <x:v>fabricated_citation</x:v>
      </x:c>
      <x:c r="B6" s="30" t="str">
        <x:v>虚构法条、案例、机关或程序</x:v>
      </x:c>
      <x:c r="C6" s="30" t="str">
        <x:v>编造不存在条文编号或案例名称</x:v>
      </x:c>
      <x:c r="D6" s="30" t="str">
        <x:v>human_review</x:v>
      </x:c>
      <x:c r="E6" s="30" t="str">
        <x:v>high</x:v>
      </x:c>
    </x:row>
    <x:row r="7">
      <x:c r="A7" s="30" t="str">
        <x:v>weak_fact_rule_application</x:v>
      </x:c>
      <x:c r="B7" s="30" t="str">
        <x:v>能说规则但不能把规则适用于事实</x:v>
      </x:c>
      <x:c r="C7" s="30" t="str">
        <x:v>罗列劳动法原则但未分析本案证据</x:v>
      </x:c>
      <x:c r="D7" s="30" t="str">
        <x:v>eval</x:v>
      </x:c>
      <x:c r="E7" s="30" t="str">
        <x:v>medium</x:v>
      </x:c>
    </x:row>
    <x:row r="8">
      <x:c r="A8" s="30" t="str">
        <x:v>missing_procedure_warning</x:v>
      </x:c>
      <x:c r="B8" s="30" t="str">
        <x:v>缺少时效、管辖、仲裁/诉讼路径提示</x:v>
      </x:c>
      <x:c r="C8" s="30" t="str">
        <x:v>劳动争议未提示仲裁时效或证据准备</x:v>
      </x:c>
      <x:c r="D8" s="30" t="str">
        <x:v>sft</x:v>
      </x:c>
      <x:c r="E8" s="30" t="str">
        <x:v>medium</x:v>
      </x:c>
    </x:row>
    <x:row r="9">
      <x:c r="A9" s="30" t="str">
        <x:v>jurisdiction_risk</x:v>
      </x:c>
      <x:c r="B9" s="30" t="str">
        <x:v>忽略地域、管辖或地方裁判差异</x:v>
      </x:c>
      <x:c r="C9" s="30" t="str">
        <x:v>平台纠纷没有区分管辖和平台所在地</x:v>
      </x:c>
      <x:c r="D9" s="30" t="str">
        <x:v>human_review</x:v>
      </x:c>
      <x:c r="E9" s="30" t="str">
        <x:v>medium</x:v>
      </x:c>
    </x:row>
    <x:row r="10">
      <x:c r="A10" s="30" t="str">
        <x:v>unsafe_action_suggestion</x:v>
      </x:c>
      <x:c r="B10" s="30" t="str">
        <x:v>给出可能导致损害的行动建议</x:v>
      </x:c>
      <x:c r="C10" s="30" t="str">
        <x:v>直接建议停止还贷、拒不到岗、删除证据</x:v>
      </x:c>
      <x:c r="D10" s="30" t="str">
        <x:v>human_review</x:v>
      </x:c>
      <x:c r="E10" s="30" t="str">
        <x:v>high</x:v>
      </x:c>
    </x:row>
    <x:row r="11">
      <x:c r="A11" s="30" t="str">
        <x:v>needs_human_review</x:v>
      </x:c>
      <x:c r="B11" s="30" t="str">
        <x:v>事实复杂或高风险，需要人工复核</x:v>
      </x:c>
      <x:c r="C11" s="30" t="str">
        <x:v>民刑交叉、IP 侵权、大额债务、多人责任</x:v>
      </x:c>
      <x:c r="D11" s="30" t="str">
        <x:v>human_review</x:v>
      </x:c>
      <x:c r="E11" s="30" t="str">
        <x:v>high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16" hidden="0" customWidth="1"/>
    <x:col min="4" max="4" width="12" hidden="0" customWidth="1"/>
    <x:col min="5" max="5" width="48" hidden="0" customWidth="1"/>
    <x:col min="6" max="6" width="42" hidden="0" customWidth="1"/>
  </x:cols>
  <x:sheetData>
    <x:row r="1">
      <x:c r="A1" s="48" t="str">
        <x:v>rule_id</x:v>
      </x:c>
      <x:c r="B1" s="48" t="str">
        <x:v>trigger_condition</x:v>
      </x:c>
      <x:c r="C1" s="48" t="str">
        <x:v>data_route</x:v>
      </x:c>
      <x:c r="D1" s="48" t="str">
        <x:v>priority</x:v>
      </x:c>
      <x:c r="E1" s="48" t="str">
        <x:v>route_reason</x:v>
      </x:c>
      <x:c r="F1" s="48" t="str">
        <x:v>reviewer_action</x:v>
      </x:c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DR-001</x:v>
      </x:c>
      <x:c r="B2" s="30" t="str">
        <x:v>error_tags contains fabricated_citation</x:v>
      </x:c>
      <x:c r="C2" s="30" t="str">
        <x:v>human_review</x:v>
      </x:c>
      <x:c r="D2" s="30" t="str">
        <x:v>P0</x:v>
      </x:c>
      <x:c r="E2" s="30" t="str">
        <x:v>虚构依据属于高风险错误</x:v>
      </x:c>
      <x:c r="F2" s="30" t="str">
        <x:v>标记不可直接使用，复核后沉淀反例</x:v>
      </x:c>
    </x:row>
    <x:row r="3">
      <x:c r="A3" s="30" t="str">
        <x:v>DR-002</x:v>
      </x:c>
      <x:c r="B3" s="30" t="str">
        <x:v>risk_level=high OR needs_human_review=yes</x:v>
      </x:c>
      <x:c r="C3" s="30" t="str">
        <x:v>human_review</x:v>
      </x:c>
      <x:c r="D3" s="30" t="str">
        <x:v>P0</x:v>
      </x:c>
      <x:c r="E3" s="30" t="str">
        <x:v>高风险法律任务不能只依赖 LLM judge</x:v>
      </x:c>
      <x:c r="F3" s="30" t="str">
        <x:v>进入人工复核队列</x:v>
      </x:c>
    </x:row>
    <x:row r="4">
      <x:c r="A4" s="30" t="str">
        <x:v>DR-003</x:v>
      </x:c>
      <x:c r="B4" s="30" t="str">
        <x:v>error_tags contains overclaim</x:v>
      </x:c>
      <x:c r="C4" s="30" t="str">
        <x:v>preference</x:v>
      </x:c>
      <x:c r="D4" s="30" t="str">
        <x:v>P1</x:v>
      </x:c>
      <x:c r="E4" s="30" t="str">
        <x:v>适合构造 chosen/rejected 偏好对</x:v>
      </x:c>
      <x:c r="F4" s="30" t="str">
        <x:v>chosen 更克制，rejected 过度承诺</x:v>
      </x:c>
    </x:row>
    <x:row r="5">
      <x:c r="A5" s="30" t="str">
        <x:v>DR-004</x:v>
      </x:c>
      <x:c r="B5" s="30" t="str">
        <x:v>error_tags contains missing_facts</x:v>
      </x:c>
      <x:c r="C5" s="30" t="str">
        <x:v>eval</x:v>
      </x:c>
      <x:c r="D5" s="30" t="str">
        <x:v>P1</x:v>
      </x:c>
      <x:c r="E5" s="30" t="str">
        <x:v>适合加入追问能力评测集</x:v>
      </x:c>
      <x:c r="F5" s="30" t="str">
        <x:v>加入 clarification eval set</x:v>
      </x:c>
    </x:row>
    <x:row r="6">
      <x:c r="A6" s="30" t="str">
        <x:v>DR-005</x:v>
      </x:c>
      <x:c r="B6" s="30" t="str">
        <x:v>error_tags contains missing_evidence_warning</x:v>
      </x:c>
      <x:c r="C6" s="30" t="str">
        <x:v>sft</x:v>
      </x:c>
      <x:c r="D6" s="30" t="str">
        <x:v>P1</x:v>
      </x:c>
      <x:c r="E6" s="30" t="str">
        <x:v>可通过示范答案强化证据风险提示</x:v>
      </x:c>
      <x:c r="F6" s="30" t="str">
        <x:v>生成 risk-control SFT 样本</x:v>
      </x:c>
    </x:row>
    <x:row r="7">
      <x:c r="A7" s="30" t="str">
        <x:v>DR-006</x:v>
      </x:c>
      <x:c r="B7" s="30" t="str">
        <x:v>error_tags contains weak_fact_rule_application</x:v>
      </x:c>
      <x:c r="C7" s="30" t="str">
        <x:v>eval</x:v>
      </x:c>
      <x:c r="D7" s="30" t="str">
        <x:v>P2</x:v>
      </x:c>
      <x:c r="E7" s="30" t="str">
        <x:v>适合诊断事实—规则适用能力</x:v>
      </x:c>
      <x:c r="F7" s="30" t="str">
        <x:v>加入 case analysis eval set</x:v>
      </x:c>
    </x:row>
    <x:row r="8">
      <x:c r="A8" s="30" t="str">
        <x:v>DR-007</x:v>
      </x:c>
      <x:c r="B8" s="30" t="str">
        <x:v>judge_confidence=low</x:v>
      </x:c>
      <x:c r="C8" s="30" t="str">
        <x:v>human_review</x:v>
      </x:c>
      <x:c r="D8" s="30" t="str">
        <x:v>P0</x:v>
      </x:c>
      <x:c r="E8" s="30" t="str">
        <x:v>Judge 不确定时不得自动沉淀 gold</x:v>
      </x:c>
      <x:c r="F8" s="30" t="str">
        <x:v>人工检查评分和标签</x:v>
      </x:c>
    </x:row>
    <x:row r="9">
      <x:c r="A9" s="30" t="str">
        <x:v>DR-008</x:v>
      </x:c>
      <x:c r="B9" s="30" t="str">
        <x:v>score_rate &lt; 0.5 and risk_level != high</x:v>
      </x:c>
      <x:c r="C9" s="30" t="str">
        <x:v>badcase</x:v>
      </x:c>
      <x:c r="D9" s="30" t="str">
        <x:v>P1</x:v>
      </x:c>
      <x:c r="E9" s="30" t="str">
        <x:v>低分典型错误适合作为 badcase 复盘</x:v>
      </x:c>
      <x:c r="F9" s="30" t="str">
        <x:v>生成 badcase card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16" hidden="0" customWidth="1"/>
    <x:col min="5" max="5" width="10" hidden="0" customWidth="1"/>
    <x:col min="6" max="6" width="26" hidden="0" customWidth="1"/>
    <x:col min="7" max="7" width="46" hidden="0" customWidth="1"/>
    <x:col min="8" max="8" width="72" hidden="0" customWidth="1"/>
    <x:col min="9" max="9" width="14" hidden="0" customWidth="1"/>
    <x:col min="10" max="10" width="14" hidden="0" customWidth="1"/>
    <x:col min="11" max="11" width="20" hidden="0" customWidth="1"/>
    <x:col min="12" max="12" width="16" hidden="0" customWidth="1"/>
    <x:col min="13" max="13" width="34" hidden="0" customWidth="1"/>
  </x:cols>
  <x:sheetData>
    <x:row r="1">
      <x:c r="A1" s="48" t="str">
        <x:v>run_id</x:v>
      </x:c>
      <x:c r="B1" s="48" t="str">
        <x:v>sample_id</x:v>
      </x:c>
      <x:c r="C1" s="48" t="str">
        <x:v>task_category</x:v>
      </x:c>
      <x:c r="D1" s="48" t="str">
        <x:v>model_alias</x:v>
      </x:c>
      <x:c r="E1" s="48" t="str">
        <x:v>version</x:v>
      </x:c>
      <x:c r="F1" s="48" t="str">
        <x:v>prompt_id</x:v>
      </x:c>
      <x:c r="G1" s="48" t="str">
        <x:v>input_visible_fields</x:v>
      </x:c>
      <x:c r="H1" s="48" t="str">
        <x:v>output_text</x:v>
      </x:c>
      <x:c r="I1" s="48" t="str">
        <x:v>run_status</x:v>
      </x:c>
      <x:c r="J1" s="48" t="str">
        <x:v>output_length</x:v>
      </x:c>
      <x:c r="K1" s="48" t="str">
        <x:v>created_at</x:v>
      </x:c>
      <x:c r="L1" s="48" t="str">
        <x:v>run_mode</x:v>
      </x:c>
      <x:c r="M1" s="48" t="str">
        <x:v>run_note</x:v>
      </x:c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RUN-TEMPLATE-001</x:v>
      </x:c>
      <x:c r="B2" s="30" t="str"/>
      <x:c r="C2" s="30" t="str"/>
      <x:c r="D2" s="30" t="str"/>
      <x:c r="E2" s="30" t="str"/>
      <x:c r="F2" s="30" t="str"/>
      <x:c r="G2" s="30" t="str"/>
      <x:c r="H2" s="30" t="str"/>
      <x:c r="I2" s="30" t="str">
        <x:v>pending</x:v>
      </x:c>
      <x:c r="J2" s="30" t="str"/>
      <x:c r="K2" s="30" t="str"/>
      <x:c r="L2" s="30" t="str">
        <x:v>api_or_mock</x:v>
      </x:c>
      <x:c r="M2" s="30" t="str"/>
    </x:row>
    <x:row r="3">
      <x:c r="A3" s="30" t="str">
        <x:v>RUN-TEMPLATE-002</x:v>
      </x:c>
      <x:c r="B3" s="30" t="str"/>
      <x:c r="C3" s="30" t="str"/>
      <x:c r="D3" s="30" t="str"/>
      <x:c r="E3" s="30" t="str"/>
      <x:c r="F3" s="30" t="str"/>
      <x:c r="G3" s="30" t="str"/>
      <x:c r="H3" s="30" t="str"/>
      <x:c r="I3" s="30" t="str">
        <x:v>pending</x:v>
      </x:c>
      <x:c r="J3" s="30" t="str"/>
      <x:c r="K3" s="30" t="str"/>
      <x:c r="L3" s="30" t="str">
        <x:v>api_or_mock</x:v>
      </x:c>
      <x:c r="M3" s="30" t="str"/>
    </x:row>
    <x:row r="4">
      <x:c r="A4" s="30" t="str">
        <x:v>RUN-TEMPLATE-003</x:v>
      </x:c>
      <x:c r="B4" s="30" t="str"/>
      <x:c r="C4" s="30" t="str"/>
      <x:c r="D4" s="30" t="str"/>
      <x:c r="E4" s="30" t="str"/>
      <x:c r="F4" s="30" t="str"/>
      <x:c r="G4" s="30" t="str"/>
      <x:c r="H4" s="30" t="str"/>
      <x:c r="I4" s="30" t="str">
        <x:v>pending</x:v>
      </x:c>
      <x:c r="J4" s="30" t="str"/>
      <x:c r="K4" s="30" t="str"/>
      <x:c r="L4" s="30" t="str">
        <x:v>api_or_mock</x:v>
      </x:c>
      <x:c r="M4" s="30" t="str"/>
    </x:row>
    <x:row r="5">
      <x:c r="A5" s="30" t="str">
        <x:v>RUN-TEMPLATE-004</x:v>
      </x:c>
      <x:c r="B5" s="30" t="str"/>
      <x:c r="C5" s="30" t="str"/>
      <x:c r="D5" s="30" t="str"/>
      <x:c r="E5" s="30" t="str"/>
      <x:c r="F5" s="30" t="str"/>
      <x:c r="G5" s="30" t="str"/>
      <x:c r="H5" s="30" t="str"/>
      <x:c r="I5" s="30" t="str">
        <x:v>pending</x:v>
      </x:c>
      <x:c r="J5" s="30" t="str"/>
      <x:c r="K5" s="30" t="str"/>
      <x:c r="L5" s="30" t="str">
        <x:v>api_or_mock</x:v>
      </x:c>
      <x:c r="M5" s="30" t="str"/>
    </x:row>
    <x:row r="6">
      <x:c r="A6" s="30" t="str">
        <x:v>RUN-TEMPLATE-005</x:v>
      </x:c>
      <x:c r="B6" s="30" t="str"/>
      <x:c r="C6" s="30" t="str"/>
      <x:c r="D6" s="30" t="str"/>
      <x:c r="E6" s="30" t="str"/>
      <x:c r="F6" s="30" t="str"/>
      <x:c r="G6" s="30" t="str"/>
      <x:c r="H6" s="30" t="str"/>
      <x:c r="I6" s="30" t="str">
        <x:v>pending</x:v>
      </x:c>
      <x:c r="J6" s="30" t="str"/>
      <x:c r="K6" s="30" t="str"/>
      <x:c r="L6" s="30" t="str">
        <x:v>api_or_mock</x:v>
      </x:c>
      <x:c r="M6" s="30" t="str"/>
    </x:row>
    <x:row r="7">
      <x:c r="A7" s="30" t="str">
        <x:v>RUN-TEMPLATE-006</x:v>
      </x:c>
      <x:c r="B7" s="30" t="str"/>
      <x:c r="C7" s="30" t="str"/>
      <x:c r="D7" s="30" t="str"/>
      <x:c r="E7" s="30" t="str"/>
      <x:c r="F7" s="30" t="str"/>
      <x:c r="G7" s="30" t="str"/>
      <x:c r="H7" s="30" t="str"/>
      <x:c r="I7" s="30" t="str">
        <x:v>pending</x:v>
      </x:c>
      <x:c r="J7" s="30" t="str"/>
      <x:c r="K7" s="30" t="str"/>
      <x:c r="L7" s="30" t="str">
        <x:v>api_or_mock</x:v>
      </x:c>
      <x:c r="M7" s="30" t="str"/>
    </x:row>
    <x:row r="8">
      <x:c r="A8" s="30" t="str">
        <x:v>RUN-TEMPLATE-007</x:v>
      </x:c>
      <x:c r="B8" s="30" t="str"/>
      <x:c r="C8" s="30" t="str"/>
      <x:c r="D8" s="30" t="str"/>
      <x:c r="E8" s="30" t="str"/>
      <x:c r="F8" s="30" t="str"/>
      <x:c r="G8" s="30" t="str"/>
      <x:c r="H8" s="30" t="str"/>
      <x:c r="I8" s="30" t="str">
        <x:v>pending</x:v>
      </x:c>
      <x:c r="J8" s="30" t="str"/>
      <x:c r="K8" s="30" t="str"/>
      <x:c r="L8" s="30" t="str">
        <x:v>api_or_mock</x:v>
      </x:c>
      <x:c r="M8" s="30" t="str"/>
    </x:row>
    <x:row r="9">
      <x:c r="A9" s="30" t="str">
        <x:v>RUN-TEMPLATE-008</x:v>
      </x:c>
      <x:c r="B9" s="30" t="str"/>
      <x:c r="C9" s="30" t="str"/>
      <x:c r="D9" s="30" t="str"/>
      <x:c r="E9" s="30" t="str"/>
      <x:c r="F9" s="30" t="str"/>
      <x:c r="G9" s="30" t="str"/>
      <x:c r="H9" s="30" t="str"/>
      <x:c r="I9" s="30" t="str">
        <x:v>pending</x:v>
      </x:c>
      <x:c r="J9" s="30" t="str"/>
      <x:c r="K9" s="30" t="str"/>
      <x:c r="L9" s="30" t="str">
        <x:v>api_or_mock</x:v>
      </x:c>
      <x:c r="M9" s="30" t="str"/>
    </x:row>
    <x:row r="10">
      <x:c r="A10" s="30" t="str">
        <x:v>RUN-TEMPLATE-009</x:v>
      </x:c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>
        <x:v>pending</x:v>
      </x:c>
      <x:c r="J10" s="30" t="str"/>
      <x:c r="K10" s="30" t="str"/>
      <x:c r="L10" s="30" t="str">
        <x:v>api_or_mock</x:v>
      </x:c>
      <x:c r="M10" s="30" t="str"/>
    </x:row>
    <x:row r="11">
      <x:c r="A11" s="30" t="str">
        <x:v>RUN-TEMPLATE-010</x:v>
      </x:c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>
        <x:v>pending</x:v>
      </x:c>
      <x:c r="J11" s="30" t="str"/>
      <x:c r="K11" s="30" t="str"/>
      <x:c r="L11" s="30" t="str">
        <x:v>api_or_mock</x:v>
      </x:c>
      <x:c r="M11" s="30" t="str"/>
    </x:row>
    <x:row r="12">
      <x:c r="A12" s="30" t="str">
        <x:v>RUN-TEMPLATE-011</x:v>
      </x:c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>
        <x:v>pending</x:v>
      </x:c>
      <x:c r="J12" s="30" t="str"/>
      <x:c r="K12" s="30" t="str"/>
      <x:c r="L12" s="30" t="str">
        <x:v>api_or_mock</x:v>
      </x:c>
      <x:c r="M12" s="30" t="str"/>
    </x:row>
    <x:row r="13">
      <x:c r="A13" s="30" t="str">
        <x:v>RUN-TEMPLATE-012</x:v>
      </x:c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>
        <x:v>pending</x:v>
      </x:c>
      <x:c r="J13" s="30" t="str"/>
      <x:c r="K13" s="30" t="str"/>
      <x:c r="L13" s="30" t="str">
        <x:v>api_or_mock</x:v>
      </x:c>
      <x:c r="M13" s="30" t="str"/>
    </x:row>
    <x:row r="14">
      <x:c r="A14" s="30" t="str">
        <x:v>RUN-TEMPLATE-013</x:v>
      </x:c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>
        <x:v>pending</x:v>
      </x:c>
      <x:c r="J14" s="30" t="str"/>
      <x:c r="K14" s="30" t="str"/>
      <x:c r="L14" s="30" t="str">
        <x:v>api_or_mock</x:v>
      </x:c>
      <x:c r="M14" s="30" t="str"/>
    </x:row>
    <x:row r="15">
      <x:c r="A15" s="30" t="str">
        <x:v>RUN-TEMPLATE-014</x:v>
      </x:c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>
        <x:v>pending</x:v>
      </x:c>
      <x:c r="J15" s="30" t="str"/>
      <x:c r="K15" s="30" t="str"/>
      <x:c r="L15" s="30" t="str">
        <x:v>api_or_mock</x:v>
      </x:c>
      <x:c r="M15" s="30" t="str"/>
    </x:row>
    <x:row r="16">
      <x:c r="A16" s="30" t="str">
        <x:v>RUN-TEMPLATE-015</x:v>
      </x:c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>
        <x:v>pending</x:v>
      </x:c>
      <x:c r="J16" s="30" t="str"/>
      <x:c r="K16" s="30" t="str"/>
      <x:c r="L16" s="30" t="str">
        <x:v>api_or_mock</x:v>
      </x:c>
      <x:c r="M16" s="30" t="str"/>
    </x:row>
    <x:row r="17">
      <x:c r="A17" s="30" t="str">
        <x:v>RUN-TEMPLATE-016</x:v>
      </x:c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>
        <x:v>pending</x:v>
      </x:c>
      <x:c r="J17" s="30" t="str"/>
      <x:c r="K17" s="30" t="str"/>
      <x:c r="L17" s="30" t="str">
        <x:v>api_or_mock</x:v>
      </x:c>
      <x:c r="M17" s="30" t="str"/>
    </x:row>
    <x:row r="18">
      <x:c r="A18" s="30" t="str">
        <x:v>RUN-TEMPLATE-017</x:v>
      </x:c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>
        <x:v>pending</x:v>
      </x:c>
      <x:c r="J18" s="30" t="str"/>
      <x:c r="K18" s="30" t="str"/>
      <x:c r="L18" s="30" t="str">
        <x:v>api_or_mock</x:v>
      </x:c>
      <x:c r="M18" s="30" t="str"/>
    </x:row>
    <x:row r="19">
      <x:c r="A19" s="30" t="str">
        <x:v>RUN-TEMPLATE-018</x:v>
      </x:c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>
        <x:v>pending</x:v>
      </x:c>
      <x:c r="J19" s="30" t="str"/>
      <x:c r="K19" s="30" t="str"/>
      <x:c r="L19" s="30" t="str">
        <x:v>api_or_mock</x:v>
      </x:c>
      <x:c r="M19" s="30" t="str"/>
    </x:row>
    <x:row r="20">
      <x:c r="A20" s="30" t="str">
        <x:v>RUN-TEMPLATE-019</x:v>
      </x:c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>
        <x:v>pending</x:v>
      </x:c>
      <x:c r="J20" s="30" t="str"/>
      <x:c r="K20" s="30" t="str"/>
      <x:c r="L20" s="30" t="str">
        <x:v>api_or_mock</x:v>
      </x:c>
      <x:c r="M20" s="30" t="str"/>
    </x:row>
    <x:row r="21">
      <x:c r="A21" s="30" t="str">
        <x:v>RUN-TEMPLATE-020</x:v>
      </x:c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>
        <x:v>pending</x:v>
      </x:c>
      <x:c r="J21" s="30" t="str"/>
      <x:c r="K21" s="30" t="str"/>
      <x:c r="L21" s="30" t="str">
        <x:v>api_or_mock</x:v>
      </x:c>
      <x:c r="M21" s="30" t="str"/>
    </x:row>
    <x:row r="22">
      <x:c r="A22" s="30" t="str">
        <x:v>RUN-TEMPLATE-021</x:v>
      </x:c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>
        <x:v>pending</x:v>
      </x:c>
      <x:c r="J22" s="30" t="str"/>
      <x:c r="K22" s="30" t="str"/>
      <x:c r="L22" s="30" t="str">
        <x:v>api_or_mock</x:v>
      </x:c>
      <x:c r="M22" s="30" t="str"/>
    </x:row>
    <x:row r="23">
      <x:c r="A23" s="30" t="str">
        <x:v>RUN-TEMPLATE-022</x:v>
      </x:c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>
        <x:v>pending</x:v>
      </x:c>
      <x:c r="J23" s="30" t="str"/>
      <x:c r="K23" s="30" t="str"/>
      <x:c r="L23" s="30" t="str">
        <x:v>api_or_mock</x:v>
      </x:c>
      <x:c r="M23" s="30" t="str"/>
    </x:row>
    <x:row r="24">
      <x:c r="A24" s="30" t="str">
        <x:v>RUN-TEMPLATE-023</x:v>
      </x:c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>
        <x:v>pending</x:v>
      </x:c>
      <x:c r="J24" s="30" t="str"/>
      <x:c r="K24" s="30" t="str"/>
      <x:c r="L24" s="30" t="str">
        <x:v>api_or_mock</x:v>
      </x:c>
      <x:c r="M24" s="30" t="str"/>
    </x:row>
    <x:row r="25">
      <x:c r="A25" s="30" t="str">
        <x:v>RUN-TEMPLATE-024</x:v>
      </x:c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>
        <x:v>pending</x:v>
      </x:c>
      <x:c r="J25" s="30" t="str"/>
      <x:c r="K25" s="30" t="str"/>
      <x:c r="L25" s="30" t="str">
        <x:v>api_or_mock</x:v>
      </x:c>
      <x:c r="M25" s="30" t="str"/>
    </x:row>
    <x:row r="26">
      <x:c r="A26" s="30" t="str">
        <x:v>RUN-TEMPLATE-025</x:v>
      </x:c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>
        <x:v>pending</x:v>
      </x:c>
      <x:c r="J26" s="30" t="str"/>
      <x:c r="K26" s="30" t="str"/>
      <x:c r="L26" s="30" t="str">
        <x:v>api_or_mock</x:v>
      </x:c>
      <x:c r="M26" s="30" t="str"/>
    </x:row>
    <x:row r="27">
      <x:c r="A27" s="30" t="str">
        <x:v>RUN-TEMPLATE-026</x:v>
      </x:c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>
        <x:v>pending</x:v>
      </x:c>
      <x:c r="J27" s="30" t="str"/>
      <x:c r="K27" s="30" t="str"/>
      <x:c r="L27" s="30" t="str">
        <x:v>api_or_mock</x:v>
      </x:c>
      <x:c r="M27" s="30" t="str"/>
    </x:row>
    <x:row r="28">
      <x:c r="A28" s="30" t="str">
        <x:v>RUN-TEMPLATE-027</x:v>
      </x:c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>
        <x:v>pending</x:v>
      </x:c>
      <x:c r="J28" s="30" t="str"/>
      <x:c r="K28" s="30" t="str"/>
      <x:c r="L28" s="30" t="str">
        <x:v>api_or_mock</x:v>
      </x:c>
      <x:c r="M28" s="30" t="str"/>
    </x:row>
    <x:row r="29">
      <x:c r="A29" s="30" t="str">
        <x:v>RUN-TEMPLATE-028</x:v>
      </x:c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>
        <x:v>pending</x:v>
      </x:c>
      <x:c r="J29" s="30" t="str"/>
      <x:c r="K29" s="30" t="str"/>
      <x:c r="L29" s="30" t="str">
        <x:v>api_or_mock</x:v>
      </x:c>
      <x:c r="M29" s="30" t="str"/>
    </x:row>
    <x:row r="30">
      <x:c r="A30" s="30" t="str">
        <x:v>RUN-TEMPLATE-029</x:v>
      </x:c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>
        <x:v>pending</x:v>
      </x:c>
      <x:c r="J30" s="30" t="str"/>
      <x:c r="K30" s="30" t="str"/>
      <x:c r="L30" s="30" t="str">
        <x:v>api_or_mock</x:v>
      </x:c>
      <x:c r="M30" s="30" t="str"/>
    </x:row>
    <x:row r="31">
      <x:c r="A31" s="30" t="str">
        <x:v>RUN-TEMPLATE-030</x:v>
      </x:c>
      <x:c r="B31" s="30" t="str"/>
      <x:c r="C31" s="30" t="str"/>
      <x:c r="D31" s="30" t="str"/>
      <x:c r="E31" s="30" t="str"/>
      <x:c r="F31" s="30" t="str"/>
      <x:c r="G31" s="30" t="str"/>
      <x:c r="H31" s="30" t="str"/>
      <x:c r="I31" s="30" t="str">
        <x:v>pending</x:v>
      </x:c>
      <x:c r="J31" s="30" t="str"/>
      <x:c r="K31" s="30" t="str"/>
      <x:c r="L31" s="30" t="str">
        <x:v>api_or_mock</x:v>
      </x:c>
      <x:c r="M31" s="30" t="str"/>
    </x:row>
    <x:row r="32">
      <x:c r="A32" s="30" t="str">
        <x:v>RUN-TEMPLATE-031</x:v>
      </x:c>
      <x:c r="B32" s="30" t="str"/>
      <x:c r="C32" s="30" t="str"/>
      <x:c r="D32" s="30" t="str"/>
      <x:c r="E32" s="30" t="str"/>
      <x:c r="F32" s="30" t="str"/>
      <x:c r="G32" s="30" t="str"/>
      <x:c r="H32" s="30" t="str"/>
      <x:c r="I32" s="30" t="str">
        <x:v>pending</x:v>
      </x:c>
      <x:c r="J32" s="30" t="str"/>
      <x:c r="K32" s="30" t="str"/>
      <x:c r="L32" s="30" t="str">
        <x:v>api_or_mock</x:v>
      </x:c>
      <x:c r="M32" s="30" t="str"/>
    </x:row>
    <x:row r="33">
      <x:c r="A33" s="30" t="str">
        <x:v>RUN-TEMPLATE-032</x:v>
      </x:c>
      <x:c r="B33" s="30" t="str"/>
      <x:c r="C33" s="30" t="str"/>
      <x:c r="D33" s="30" t="str"/>
      <x:c r="E33" s="30" t="str"/>
      <x:c r="F33" s="30" t="str"/>
      <x:c r="G33" s="30" t="str"/>
      <x:c r="H33" s="30" t="str"/>
      <x:c r="I33" s="30" t="str">
        <x:v>pending</x:v>
      </x:c>
      <x:c r="J33" s="30" t="str"/>
      <x:c r="K33" s="30" t="str"/>
      <x:c r="L33" s="30" t="str">
        <x:v>api_or_mock</x:v>
      </x:c>
      <x:c r="M33" s="30" t="str"/>
    </x:row>
    <x:row r="34">
      <x:c r="A34" s="30" t="str">
        <x:v>RUN-TEMPLATE-033</x:v>
      </x:c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>
        <x:v>pending</x:v>
      </x:c>
      <x:c r="J34" s="30" t="str"/>
      <x:c r="K34" s="30" t="str"/>
      <x:c r="L34" s="30" t="str">
        <x:v>api_or_mock</x:v>
      </x:c>
      <x:c r="M34" s="30" t="str"/>
    </x:row>
    <x:row r="35">
      <x:c r="A35" s="30" t="str">
        <x:v>RUN-TEMPLATE-034</x:v>
      </x:c>
      <x:c r="B35" s="30" t="str"/>
      <x:c r="C35" s="30" t="str"/>
      <x:c r="D35" s="30" t="str"/>
      <x:c r="E35" s="30" t="str"/>
      <x:c r="F35" s="30" t="str"/>
      <x:c r="G35" s="30" t="str"/>
      <x:c r="H35" s="30" t="str"/>
      <x:c r="I35" s="30" t="str">
        <x:v>pending</x:v>
      </x:c>
      <x:c r="J35" s="30" t="str"/>
      <x:c r="K35" s="30" t="str"/>
      <x:c r="L35" s="30" t="str">
        <x:v>api_or_mock</x:v>
      </x:c>
      <x:c r="M35" s="30" t="str"/>
    </x:row>
    <x:row r="36">
      <x:c r="A36" s="30" t="str">
        <x:v>RUN-TEMPLATE-035</x:v>
      </x:c>
      <x:c r="B36" s="30" t="str"/>
      <x:c r="C36" s="30" t="str"/>
      <x:c r="D36" s="30" t="str"/>
      <x:c r="E36" s="30" t="str"/>
      <x:c r="F36" s="30" t="str"/>
      <x:c r="G36" s="30" t="str"/>
      <x:c r="H36" s="30" t="str"/>
      <x:c r="I36" s="30" t="str">
        <x:v>pending</x:v>
      </x:c>
      <x:c r="J36" s="30" t="str"/>
      <x:c r="K36" s="30" t="str"/>
      <x:c r="L36" s="30" t="str">
        <x:v>api_or_mock</x:v>
      </x:c>
      <x:c r="M36" s="30" t="str"/>
    </x:row>
    <x:row r="37">
      <x:c r="A37" s="30" t="str">
        <x:v>RUN-TEMPLATE-036</x:v>
      </x:c>
      <x:c r="B37" s="30" t="str"/>
      <x:c r="C37" s="30" t="str"/>
      <x:c r="D37" s="30" t="str"/>
      <x:c r="E37" s="30" t="str"/>
      <x:c r="F37" s="30" t="str"/>
      <x:c r="G37" s="30" t="str"/>
      <x:c r="H37" s="30" t="str"/>
      <x:c r="I37" s="30" t="str">
        <x:v>pending</x:v>
      </x:c>
      <x:c r="J37" s="30" t="str"/>
      <x:c r="K37" s="30" t="str"/>
      <x:c r="L37" s="30" t="str">
        <x:v>api_or_mock</x:v>
      </x:c>
      <x:c r="M37" s="30" t="str"/>
    </x:row>
    <x:row r="38">
      <x:c r="A38" s="30" t="str">
        <x:v>RUN-TEMPLATE-037</x:v>
      </x:c>
      <x:c r="B38" s="30" t="str"/>
      <x:c r="C38" s="30" t="str"/>
      <x:c r="D38" s="30" t="str"/>
      <x:c r="E38" s="30" t="str"/>
      <x:c r="F38" s="30" t="str"/>
      <x:c r="G38" s="30" t="str"/>
      <x:c r="H38" s="30" t="str"/>
      <x:c r="I38" s="30" t="str">
        <x:v>pending</x:v>
      </x:c>
      <x:c r="J38" s="30" t="str"/>
      <x:c r="K38" s="30" t="str"/>
      <x:c r="L38" s="30" t="str">
        <x:v>api_or_mock</x:v>
      </x:c>
      <x:c r="M38" s="30" t="str"/>
    </x:row>
    <x:row r="39">
      <x:c r="A39" s="30" t="str">
        <x:v>RUN-TEMPLATE-038</x:v>
      </x:c>
      <x:c r="B39" s="30" t="str"/>
      <x:c r="C39" s="30" t="str"/>
      <x:c r="D39" s="30" t="str"/>
      <x:c r="E39" s="30" t="str"/>
      <x:c r="F39" s="30" t="str"/>
      <x:c r="G39" s="30" t="str"/>
      <x:c r="H39" s="30" t="str"/>
      <x:c r="I39" s="30" t="str">
        <x:v>pending</x:v>
      </x:c>
      <x:c r="J39" s="30" t="str"/>
      <x:c r="K39" s="30" t="str"/>
      <x:c r="L39" s="30" t="str">
        <x:v>api_or_mock</x:v>
      </x:c>
      <x:c r="M39" s="30" t="str"/>
    </x:row>
    <x:row r="40">
      <x:c r="A40" s="30" t="str">
        <x:v>RUN-TEMPLATE-039</x:v>
      </x:c>
      <x:c r="B40" s="30" t="str"/>
      <x:c r="C40" s="30" t="str"/>
      <x:c r="D40" s="30" t="str"/>
      <x:c r="E40" s="30" t="str"/>
      <x:c r="F40" s="30" t="str"/>
      <x:c r="G40" s="30" t="str"/>
      <x:c r="H40" s="30" t="str"/>
      <x:c r="I40" s="30" t="str">
        <x:v>pending</x:v>
      </x:c>
      <x:c r="J40" s="30" t="str"/>
      <x:c r="K40" s="30" t="str"/>
      <x:c r="L40" s="30" t="str">
        <x:v>api_or_mock</x:v>
      </x:c>
      <x:c r="M40" s="30" t="str"/>
    </x:row>
    <x:row r="41">
      <x:c r="A41" s="30" t="str">
        <x:v>RUN-TEMPLATE-040</x:v>
      </x:c>
      <x:c r="B41" s="30" t="str"/>
      <x:c r="C41" s="30" t="str"/>
      <x:c r="D41" s="30" t="str"/>
      <x:c r="E41" s="30" t="str"/>
      <x:c r="F41" s="30" t="str"/>
      <x:c r="G41" s="30" t="str"/>
      <x:c r="H41" s="30" t="str"/>
      <x:c r="I41" s="30" t="str">
        <x:v>pending</x:v>
      </x:c>
      <x:c r="J41" s="30" t="str"/>
      <x:c r="K41" s="30" t="str"/>
      <x:c r="L41" s="30" t="str">
        <x:v>api_or_mock</x:v>
      </x:c>
      <x:c r="M41" s="30" t="str"/>
    </x:row>
    <x:row r="42">
      <x:c r="A42" s="30" t="str">
        <x:v>RUN-TEMPLATE-041</x:v>
      </x:c>
      <x:c r="B42" s="30" t="str"/>
      <x:c r="C42" s="30" t="str"/>
      <x:c r="D42" s="30" t="str"/>
      <x:c r="E42" s="30" t="str"/>
      <x:c r="F42" s="30" t="str"/>
      <x:c r="G42" s="30" t="str"/>
      <x:c r="H42" s="30" t="str"/>
      <x:c r="I42" s="30" t="str">
        <x:v>pending</x:v>
      </x:c>
      <x:c r="J42" s="30" t="str"/>
      <x:c r="K42" s="30" t="str"/>
      <x:c r="L42" s="30" t="str">
        <x:v>api_or_mock</x:v>
      </x:c>
      <x:c r="M42" s="30" t="str"/>
    </x:row>
    <x:row r="43">
      <x:c r="A43" s="30" t="str">
        <x:v>RUN-TEMPLATE-042</x:v>
      </x:c>
      <x:c r="B43" s="30" t="str"/>
      <x:c r="C43" s="30" t="str"/>
      <x:c r="D43" s="30" t="str"/>
      <x:c r="E43" s="30" t="str"/>
      <x:c r="F43" s="30" t="str"/>
      <x:c r="G43" s="30" t="str"/>
      <x:c r="H43" s="30" t="str"/>
      <x:c r="I43" s="30" t="str">
        <x:v>pending</x:v>
      </x:c>
      <x:c r="J43" s="30" t="str"/>
      <x:c r="K43" s="30" t="str"/>
      <x:c r="L43" s="30" t="str">
        <x:v>api_or_mock</x:v>
      </x:c>
      <x:c r="M43" s="30" t="str"/>
    </x:row>
    <x:row r="44">
      <x:c r="A44" s="30" t="str">
        <x:v>RUN-TEMPLATE-043</x:v>
      </x:c>
      <x:c r="B44" s="30" t="str"/>
      <x:c r="C44" s="30" t="str"/>
      <x:c r="D44" s="30" t="str"/>
      <x:c r="E44" s="30" t="str"/>
      <x:c r="F44" s="30" t="str"/>
      <x:c r="G44" s="30" t="str"/>
      <x:c r="H44" s="30" t="str"/>
      <x:c r="I44" s="30" t="str">
        <x:v>pending</x:v>
      </x:c>
      <x:c r="J44" s="30" t="str"/>
      <x:c r="K44" s="30" t="str"/>
      <x:c r="L44" s="30" t="str">
        <x:v>api_or_mock</x:v>
      </x:c>
      <x:c r="M44" s="30" t="str"/>
    </x:row>
    <x:row r="45">
      <x:c r="A45" s="30" t="str">
        <x:v>RUN-TEMPLATE-044</x:v>
      </x:c>
      <x:c r="B45" s="30" t="str"/>
      <x:c r="C45" s="30" t="str"/>
      <x:c r="D45" s="30" t="str"/>
      <x:c r="E45" s="30" t="str"/>
      <x:c r="F45" s="30" t="str"/>
      <x:c r="G45" s="30" t="str"/>
      <x:c r="H45" s="30" t="str"/>
      <x:c r="I45" s="30" t="str">
        <x:v>pending</x:v>
      </x:c>
      <x:c r="J45" s="30" t="str"/>
      <x:c r="K45" s="30" t="str"/>
      <x:c r="L45" s="30" t="str">
        <x:v>api_or_mock</x:v>
      </x:c>
      <x:c r="M45" s="30" t="str"/>
    </x:row>
    <x:row r="46">
      <x:c r="A46" s="30" t="str">
        <x:v>RUN-TEMPLATE-045</x:v>
      </x:c>
      <x:c r="B46" s="30" t="str"/>
      <x:c r="C46" s="30" t="str"/>
      <x:c r="D46" s="30" t="str"/>
      <x:c r="E46" s="30" t="str"/>
      <x:c r="F46" s="30" t="str"/>
      <x:c r="G46" s="30" t="str"/>
      <x:c r="H46" s="30" t="str"/>
      <x:c r="I46" s="30" t="str">
        <x:v>pending</x:v>
      </x:c>
      <x:c r="J46" s="30" t="str"/>
      <x:c r="K46" s="30" t="str"/>
      <x:c r="L46" s="30" t="str">
        <x:v>api_or_mock</x:v>
      </x:c>
      <x:c r="M46" s="30" t="str"/>
    </x:row>
    <x:row r="47">
      <x:c r="A47" s="30" t="str">
        <x:v>RUN-TEMPLATE-046</x:v>
      </x:c>
      <x:c r="B47" s="30" t="str"/>
      <x:c r="C47" s="30" t="str"/>
      <x:c r="D47" s="30" t="str"/>
      <x:c r="E47" s="30" t="str"/>
      <x:c r="F47" s="30" t="str"/>
      <x:c r="G47" s="30" t="str"/>
      <x:c r="H47" s="30" t="str"/>
      <x:c r="I47" s="30" t="str">
        <x:v>pending</x:v>
      </x:c>
      <x:c r="J47" s="30" t="str"/>
      <x:c r="K47" s="30" t="str"/>
      <x:c r="L47" s="30" t="str">
        <x:v>api_or_mock</x:v>
      </x:c>
      <x:c r="M47" s="30" t="str"/>
    </x:row>
    <x:row r="48">
      <x:c r="A48" s="30" t="str">
        <x:v>RUN-TEMPLATE-047</x:v>
      </x:c>
      <x:c r="B48" s="30" t="str"/>
      <x:c r="C48" s="30" t="str"/>
      <x:c r="D48" s="30" t="str"/>
      <x:c r="E48" s="30" t="str"/>
      <x:c r="F48" s="30" t="str"/>
      <x:c r="G48" s="30" t="str"/>
      <x:c r="H48" s="30" t="str"/>
      <x:c r="I48" s="30" t="str">
        <x:v>pending</x:v>
      </x:c>
      <x:c r="J48" s="30" t="str"/>
      <x:c r="K48" s="30" t="str"/>
      <x:c r="L48" s="30" t="str">
        <x:v>api_or_mock</x:v>
      </x:c>
      <x:c r="M48" s="30" t="str"/>
    </x:row>
    <x:row r="49">
      <x:c r="A49" s="30" t="str">
        <x:v>RUN-TEMPLATE-048</x:v>
      </x:c>
      <x:c r="B49" s="30" t="str"/>
      <x:c r="C49" s="30" t="str"/>
      <x:c r="D49" s="30" t="str"/>
      <x:c r="E49" s="30" t="str"/>
      <x:c r="F49" s="30" t="str"/>
      <x:c r="G49" s="30" t="str"/>
      <x:c r="H49" s="30" t="str"/>
      <x:c r="I49" s="30" t="str">
        <x:v>pending</x:v>
      </x:c>
      <x:c r="J49" s="30" t="str"/>
      <x:c r="K49" s="30" t="str"/>
      <x:c r="L49" s="30" t="str">
        <x:v>api_or_mock</x:v>
      </x:c>
      <x:c r="M49" s="30" t="str"/>
    </x:row>
    <x:row r="50">
      <x:c r="A50" s="30" t="str">
        <x:v>RUN-TEMPLATE-049</x:v>
      </x:c>
      <x:c r="B50" s="30" t="str"/>
      <x:c r="C50" s="30" t="str"/>
      <x:c r="D50" s="30" t="str"/>
      <x:c r="E50" s="30" t="str"/>
      <x:c r="F50" s="30" t="str"/>
      <x:c r="G50" s="30" t="str"/>
      <x:c r="H50" s="30" t="str"/>
      <x:c r="I50" s="30" t="str">
        <x:v>pending</x:v>
      </x:c>
      <x:c r="J50" s="30" t="str"/>
      <x:c r="K50" s="30" t="str"/>
      <x:c r="L50" s="30" t="str">
        <x:v>api_or_mock</x:v>
      </x:c>
      <x:c r="M50" s="30" t="str"/>
    </x:row>
    <x:row r="51">
      <x:c r="A51" s="30" t="str">
        <x:v>RUN-TEMPLATE-050</x:v>
      </x:c>
      <x:c r="B51" s="30" t="str"/>
      <x:c r="C51" s="30" t="str"/>
      <x:c r="D51" s="30" t="str"/>
      <x:c r="E51" s="30" t="str"/>
      <x:c r="F51" s="30" t="str"/>
      <x:c r="G51" s="30" t="str"/>
      <x:c r="H51" s="30" t="str"/>
      <x:c r="I51" s="30" t="str">
        <x:v>pending</x:v>
      </x:c>
      <x:c r="J51" s="30" t="str"/>
      <x:c r="K51" s="30" t="str"/>
      <x:c r="L51" s="30" t="str">
        <x:v>api_or_mock</x:v>
      </x:c>
      <x:c r="M51" s="30" t="str"/>
    </x:row>
    <x:row r="52">
      <x:c r="A52" s="30" t="str">
        <x:v>RUN-TEMPLATE-051</x:v>
      </x:c>
      <x:c r="B52" s="30" t="str"/>
      <x:c r="C52" s="30" t="str"/>
      <x:c r="D52" s="30" t="str"/>
      <x:c r="E52" s="30" t="str"/>
      <x:c r="F52" s="30" t="str"/>
      <x:c r="G52" s="30" t="str"/>
      <x:c r="H52" s="30" t="str"/>
      <x:c r="I52" s="30" t="str">
        <x:v>pending</x:v>
      </x:c>
      <x:c r="J52" s="30" t="str"/>
      <x:c r="K52" s="30" t="str"/>
      <x:c r="L52" s="30" t="str">
        <x:v>api_or_mock</x:v>
      </x:c>
      <x:c r="M52" s="30" t="str"/>
    </x:row>
    <x:row r="53">
      <x:c r="A53" s="30" t="str">
        <x:v>RUN-TEMPLATE-052</x:v>
      </x:c>
      <x:c r="B53" s="30" t="str"/>
      <x:c r="C53" s="30" t="str"/>
      <x:c r="D53" s="30" t="str"/>
      <x:c r="E53" s="30" t="str"/>
      <x:c r="F53" s="30" t="str"/>
      <x:c r="G53" s="30" t="str"/>
      <x:c r="H53" s="30" t="str"/>
      <x:c r="I53" s="30" t="str">
        <x:v>pending</x:v>
      </x:c>
      <x:c r="J53" s="30" t="str"/>
      <x:c r="K53" s="30" t="str"/>
      <x:c r="L53" s="30" t="str">
        <x:v>api_or_mock</x:v>
      </x:c>
      <x:c r="M53" s="30" t="str"/>
    </x:row>
    <x:row r="54">
      <x:c r="A54" s="30" t="str">
        <x:v>RUN-TEMPLATE-053</x:v>
      </x:c>
      <x:c r="B54" s="30" t="str"/>
      <x:c r="C54" s="30" t="str"/>
      <x:c r="D54" s="30" t="str"/>
      <x:c r="E54" s="30" t="str"/>
      <x:c r="F54" s="30" t="str"/>
      <x:c r="G54" s="30" t="str"/>
      <x:c r="H54" s="30" t="str"/>
      <x:c r="I54" s="30" t="str">
        <x:v>pending</x:v>
      </x:c>
      <x:c r="J54" s="30" t="str"/>
      <x:c r="K54" s="30" t="str"/>
      <x:c r="L54" s="30" t="str">
        <x:v>api_or_mock</x:v>
      </x:c>
      <x:c r="M54" s="30" t="str"/>
    </x:row>
    <x:row r="55">
      <x:c r="A55" s="30" t="str">
        <x:v>RUN-TEMPLATE-054</x:v>
      </x:c>
      <x:c r="B55" s="30" t="str"/>
      <x:c r="C55" s="30" t="str"/>
      <x:c r="D55" s="30" t="str"/>
      <x:c r="E55" s="30" t="str"/>
      <x:c r="F55" s="30" t="str"/>
      <x:c r="G55" s="30" t="str"/>
      <x:c r="H55" s="30" t="str"/>
      <x:c r="I55" s="30" t="str">
        <x:v>pending</x:v>
      </x:c>
      <x:c r="J55" s="30" t="str"/>
      <x:c r="K55" s="30" t="str"/>
      <x:c r="L55" s="30" t="str">
        <x:v>api_or_mock</x:v>
      </x:c>
      <x:c r="M55" s="30" t="str"/>
    </x:row>
    <x:row r="56">
      <x:c r="A56" s="30" t="str">
        <x:v>RUN-TEMPLATE-055</x:v>
      </x:c>
      <x:c r="B56" s="30" t="str"/>
      <x:c r="C56" s="30" t="str"/>
      <x:c r="D56" s="30" t="str"/>
      <x:c r="E56" s="30" t="str"/>
      <x:c r="F56" s="30" t="str"/>
      <x:c r="G56" s="30" t="str"/>
      <x:c r="H56" s="30" t="str"/>
      <x:c r="I56" s="30" t="str">
        <x:v>pending</x:v>
      </x:c>
      <x:c r="J56" s="30" t="str"/>
      <x:c r="K56" s="30" t="str"/>
      <x:c r="L56" s="30" t="str">
        <x:v>api_or_mock</x:v>
      </x:c>
      <x:c r="M56" s="30" t="str"/>
    </x:row>
    <x:row r="57">
      <x:c r="A57" s="30" t="str">
        <x:v>RUN-TEMPLATE-056</x:v>
      </x:c>
      <x:c r="B57" s="30" t="str"/>
      <x:c r="C57" s="30" t="str"/>
      <x:c r="D57" s="30" t="str"/>
      <x:c r="E57" s="30" t="str"/>
      <x:c r="F57" s="30" t="str"/>
      <x:c r="G57" s="30" t="str"/>
      <x:c r="H57" s="30" t="str"/>
      <x:c r="I57" s="30" t="str">
        <x:v>pending</x:v>
      </x:c>
      <x:c r="J57" s="30" t="str"/>
      <x:c r="K57" s="30" t="str"/>
      <x:c r="L57" s="30" t="str">
        <x:v>api_or_mock</x:v>
      </x:c>
      <x:c r="M57" s="30" t="str"/>
    </x:row>
    <x:row r="58">
      <x:c r="A58" s="30" t="str">
        <x:v>RUN-TEMPLATE-057</x:v>
      </x:c>
      <x:c r="B58" s="30" t="str"/>
      <x:c r="C58" s="30" t="str"/>
      <x:c r="D58" s="30" t="str"/>
      <x:c r="E58" s="30" t="str"/>
      <x:c r="F58" s="30" t="str"/>
      <x:c r="G58" s="30" t="str"/>
      <x:c r="H58" s="30" t="str"/>
      <x:c r="I58" s="30" t="str">
        <x:v>pending</x:v>
      </x:c>
      <x:c r="J58" s="30" t="str"/>
      <x:c r="K58" s="30" t="str"/>
      <x:c r="L58" s="30" t="str">
        <x:v>api_or_mock</x:v>
      </x:c>
      <x:c r="M58" s="30" t="str"/>
    </x:row>
    <x:row r="59">
      <x:c r="A59" s="30" t="str">
        <x:v>RUN-TEMPLATE-058</x:v>
      </x:c>
      <x:c r="B59" s="30" t="str"/>
      <x:c r="C59" s="30" t="str"/>
      <x:c r="D59" s="30" t="str"/>
      <x:c r="E59" s="30" t="str"/>
      <x:c r="F59" s="30" t="str"/>
      <x:c r="G59" s="30" t="str"/>
      <x:c r="H59" s="30" t="str"/>
      <x:c r="I59" s="30" t="str">
        <x:v>pending</x:v>
      </x:c>
      <x:c r="J59" s="30" t="str"/>
      <x:c r="K59" s="30" t="str"/>
      <x:c r="L59" s="30" t="str">
        <x:v>api_or_mock</x:v>
      </x:c>
      <x:c r="M59" s="30" t="str"/>
    </x:row>
    <x:row r="60">
      <x:c r="A60" s="30" t="str">
        <x:v>RUN-TEMPLATE-059</x:v>
      </x:c>
      <x:c r="B60" s="30" t="str"/>
      <x:c r="C60" s="30" t="str"/>
      <x:c r="D60" s="30" t="str"/>
      <x:c r="E60" s="30" t="str"/>
      <x:c r="F60" s="30" t="str"/>
      <x:c r="G60" s="30" t="str"/>
      <x:c r="H60" s="30" t="str"/>
      <x:c r="I60" s="30" t="str">
        <x:v>pending</x:v>
      </x:c>
      <x:c r="J60" s="30" t="str"/>
      <x:c r="K60" s="30" t="str"/>
      <x:c r="L60" s="30" t="str">
        <x:v>api_or_mock</x:v>
      </x:c>
      <x:c r="M60" s="30" t="str"/>
    </x:row>
    <x:row r="61">
      <x:c r="A61" s="30" t="str">
        <x:v>RUN-TEMPLATE-060</x:v>
      </x:c>
      <x:c r="B61" s="30" t="str"/>
      <x:c r="C61" s="30" t="str"/>
      <x:c r="D61" s="30" t="str"/>
      <x:c r="E61" s="30" t="str"/>
      <x:c r="F61" s="30" t="str"/>
      <x:c r="G61" s="30" t="str"/>
      <x:c r="H61" s="30" t="str"/>
      <x:c r="I61" s="30" t="str">
        <x:v>pending</x:v>
      </x:c>
      <x:c r="J61" s="30" t="str"/>
      <x:c r="K61" s="30" t="str"/>
      <x:c r="L61" s="30" t="str">
        <x:v>api_or_mock</x:v>
      </x:c>
      <x:c r="M61" s="30" t="str"/>
    </x:row>
  </x:sheetData>
  <x:dataValidations count="3">
    <x:dataValidation type="list" sqref="E2:E61">
      <x:formula1>"V0,V1,V2,V3"</x:formula1>
    </x:dataValidation>
    <x:dataValidation type="list" sqref="I2:I61">
      <x:formula1>"pending,success,failed,skipped"</x:formula1>
    </x:dataValidation>
    <x:dataValidation type="list" sqref="L2:L61">
      <x:formula1>"api,mock,manual"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6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6" hidden="0" customWidth="1"/>
    <x:col min="16" max="16" width="16" hidden="0" customWidth="1"/>
    <x:col min="17" max="17" width="18" hidden="0" customWidth="1"/>
    <x:col min="18" max="18" width="16" hidden="0" customWidth="1"/>
    <x:col min="19" max="19" width="38" hidden="0" customWidth="1"/>
    <x:col min="20" max="20" width="16" hidden="0" customWidth="1"/>
    <x:col min="21" max="21" width="18" hidden="0" customWidth="1"/>
    <x:col min="22" max="22" width="12" hidden="0" customWidth="1"/>
    <x:col min="23" max="23" width="56" hidden="0" customWidth="1"/>
  </x:cols>
  <x:sheetData>
    <x:row r="1">
      <x:c r="A1" s="48" t="str">
        <x:v>score_id</x:v>
      </x:c>
      <x:c r="B1" s="48" t="str">
        <x:v>run_id</x:v>
      </x:c>
      <x:c r="C1" s="48" t="str">
        <x:v>sample_id</x:v>
      </x:c>
      <x:c r="D1" s="48" t="str">
        <x:v>task_category</x:v>
      </x:c>
      <x:c r="E1" s="48" t="str">
        <x:v>model_alias</x:v>
      </x:c>
      <x:c r="F1" s="48" t="str">
        <x:v>version</x:v>
      </x:c>
      <x:c r="G1" s="48" t="str">
        <x:v>total_score</x:v>
      </x:c>
      <x:c r="H1" s="48" t="str">
        <x:v>max_score</x:v>
      </x:c>
      <x:c r="I1" s="48" t="str">
        <x:v>score_rate</x:v>
      </x:c>
      <x:c r="J1" s="48" t="str">
        <x:v>missing_facts_awareness</x:v>
      </x:c>
      <x:c r="K1" s="48" t="str">
        <x:v>clarification_quality</x:v>
      </x:c>
      <x:c r="L1" s="48" t="str">
        <x:v>legal_grounding</x:v>
      </x:c>
      <x:c r="M1" s="48" t="str">
        <x:v>fact_rule_application</x:v>
      </x:c>
      <x:c r="N1" s="48" t="str">
        <x:v>conditional_reasoning</x:v>
      </x:c>
      <x:c r="O1" s="48" t="str">
        <x:v>risk_coverage</x:v>
      </x:c>
      <x:c r="P1" s="48" t="str">
        <x:v>overclaim_control</x:v>
      </x:c>
      <x:c r="Q1" s="48" t="str">
        <x:v>hallucination_control</x:v>
      </x:c>
      <x:c r="R1" s="48" t="str">
        <x:v>data_tag_usability</x:v>
      </x:c>
      <x:c r="S1" s="48" t="str">
        <x:v>error_tags</x:v>
      </x:c>
      <x:c r="T1" s="48" t="str">
        <x:v>judge_confidence</x:v>
      </x:c>
      <x:c r="U1" s="48" t="str">
        <x:v>needs_human_review</x:v>
      </x:c>
      <x:c r="V1" s="48" t="str">
        <x:v>parsed_ok</x:v>
      </x:c>
      <x:c r="W1" s="48" t="str">
        <x:v>judge_reason</x:v>
      </x:c>
      <x:c r="X1" s="43"/>
      <x:c r="Y1" s="43"/>
      <x:c r="Z1" s="43"/>
    </x:row>
    <x:row r="2">
      <x:c r="A2" s="30" t="str">
        <x:v>JUDGE-TEMPLATE-001</x:v>
      </x:c>
      <x:c r="B2" s="30" t="str"/>
      <x:c r="C2" s="30" t="str"/>
      <x:c r="D2" s="30" t="str"/>
      <x:c r="E2" s="30" t="str"/>
      <x:c r="F2" s="30" t="str"/>
      <x:c r="G2" s="30" t="str"/>
      <x:c r="H2" s="30" t="str">
        <x:v>10</x:v>
      </x:c>
      <x:c r="I2" s="32" t="str">
        <x:f>IF(OR(G2="",H2=""),"",G2/H2)</x:f>
      </x:c>
      <x:c r="J2" s="30" t="str"/>
      <x:c r="K2" s="30" t="str"/>
      <x:c r="L2" s="30" t="str"/>
      <x:c r="M2" s="30" t="str"/>
      <x:c r="N2" s="30" t="str"/>
      <x:c r="O2" s="30" t="str"/>
      <x:c r="P2" s="30" t="str"/>
      <x:c r="Q2" s="30" t="str"/>
      <x:c r="R2" s="30" t="str"/>
      <x:c r="S2" s="30" t="str"/>
      <x:c r="T2" s="30" t="str"/>
      <x:c r="U2" s="30" t="str"/>
      <x:c r="V2" s="30" t="str"/>
      <x:c r="W2" s="30" t="str"/>
    </x:row>
    <x:row r="3">
      <x:c r="A3" s="30" t="str">
        <x:v>JUDGE-TEMPLATE-002</x:v>
      </x:c>
      <x:c r="B3" s="30" t="str"/>
      <x:c r="C3" s="30" t="str"/>
      <x:c r="D3" s="30" t="str"/>
      <x:c r="E3" s="30" t="str"/>
      <x:c r="F3" s="30" t="str"/>
      <x:c r="G3" s="30" t="str"/>
      <x:c r="H3" s="30" t="str">
        <x:v>10</x:v>
      </x:c>
      <x:c r="I3" s="32" t="str">
        <x:f>IF(OR(G3="",H3=""),"",G3/H3)</x:f>
      </x:c>
      <x:c r="J3" s="30" t="str"/>
      <x:c r="K3" s="30" t="str"/>
      <x:c r="L3" s="30" t="str"/>
      <x:c r="M3" s="30" t="str"/>
      <x:c r="N3" s="30" t="str"/>
      <x:c r="O3" s="30" t="str"/>
      <x:c r="P3" s="30" t="str"/>
      <x:c r="Q3" s="30" t="str"/>
      <x:c r="R3" s="30" t="str"/>
      <x:c r="S3" s="30" t="str"/>
      <x:c r="T3" s="30" t="str"/>
      <x:c r="U3" s="30" t="str"/>
      <x:c r="V3" s="30" t="str"/>
      <x:c r="W3" s="30" t="str"/>
    </x:row>
    <x:row r="4">
      <x:c r="A4" s="30" t="str">
        <x:v>JUDGE-TEMPLATE-003</x:v>
      </x:c>
      <x:c r="B4" s="30" t="str"/>
      <x:c r="C4" s="30" t="str"/>
      <x:c r="D4" s="30" t="str"/>
      <x:c r="E4" s="30" t="str"/>
      <x:c r="F4" s="30" t="str"/>
      <x:c r="G4" s="30" t="str"/>
      <x:c r="H4" s="30" t="str">
        <x:v>10</x:v>
      </x:c>
      <x:c r="I4" s="32" t="str">
        <x:f>IF(OR(G4="",H4=""),"",G4/H4)</x:f>
      </x:c>
      <x:c r="J4" s="30" t="str"/>
      <x:c r="K4" s="30" t="str"/>
      <x:c r="L4" s="30" t="str"/>
      <x:c r="M4" s="30" t="str"/>
      <x:c r="N4" s="30" t="str"/>
      <x:c r="O4" s="30" t="str"/>
      <x:c r="P4" s="30" t="str"/>
      <x:c r="Q4" s="30" t="str"/>
      <x:c r="R4" s="30" t="str"/>
      <x:c r="S4" s="30" t="str"/>
      <x:c r="T4" s="30" t="str"/>
      <x:c r="U4" s="30" t="str"/>
      <x:c r="V4" s="30" t="str"/>
      <x:c r="W4" s="30" t="str"/>
    </x:row>
    <x:row r="5">
      <x:c r="A5" s="30" t="str">
        <x:v>JUDGE-TEMPLATE-004</x:v>
      </x:c>
      <x:c r="B5" s="30" t="str"/>
      <x:c r="C5" s="30" t="str"/>
      <x:c r="D5" s="30" t="str"/>
      <x:c r="E5" s="30" t="str"/>
      <x:c r="F5" s="30" t="str"/>
      <x:c r="G5" s="30" t="str"/>
      <x:c r="H5" s="30" t="str">
        <x:v>10</x:v>
      </x:c>
      <x:c r="I5" s="32" t="str">
        <x:f>IF(OR(G5="",H5=""),"",G5/H5)</x:f>
      </x:c>
      <x:c r="J5" s="30" t="str"/>
      <x:c r="K5" s="30" t="str"/>
      <x:c r="L5" s="30" t="str"/>
      <x:c r="M5" s="30" t="str"/>
      <x:c r="N5" s="30" t="str"/>
      <x:c r="O5" s="30" t="str"/>
      <x:c r="P5" s="30" t="str"/>
      <x:c r="Q5" s="30" t="str"/>
      <x:c r="R5" s="30" t="str"/>
      <x:c r="S5" s="30" t="str"/>
      <x:c r="T5" s="30" t="str"/>
      <x:c r="U5" s="30" t="str"/>
      <x:c r="V5" s="30" t="str"/>
      <x:c r="W5" s="30" t="str"/>
    </x:row>
    <x:row r="6">
      <x:c r="A6" s="30" t="str">
        <x:v>JUDGE-TEMPLATE-005</x:v>
      </x:c>
      <x:c r="B6" s="30" t="str"/>
      <x:c r="C6" s="30" t="str"/>
      <x:c r="D6" s="30" t="str"/>
      <x:c r="E6" s="30" t="str"/>
      <x:c r="F6" s="30" t="str"/>
      <x:c r="G6" s="30" t="str"/>
      <x:c r="H6" s="30" t="str">
        <x:v>10</x:v>
      </x:c>
      <x:c r="I6" s="32" t="str">
        <x:f>IF(OR(G6="",H6=""),"",G6/H6)</x:f>
      </x:c>
      <x:c r="J6" s="30" t="str"/>
      <x:c r="K6" s="30" t="str"/>
      <x:c r="L6" s="30" t="str"/>
      <x:c r="M6" s="30" t="str"/>
      <x:c r="N6" s="30" t="str"/>
      <x:c r="O6" s="30" t="str"/>
      <x:c r="P6" s="30" t="str"/>
      <x:c r="Q6" s="30" t="str"/>
      <x:c r="R6" s="30" t="str"/>
      <x:c r="S6" s="30" t="str"/>
      <x:c r="T6" s="30" t="str"/>
      <x:c r="U6" s="30" t="str"/>
      <x:c r="V6" s="30" t="str"/>
      <x:c r="W6" s="30" t="str"/>
    </x:row>
    <x:row r="7">
      <x:c r="A7" s="30" t="str">
        <x:v>JUDGE-TEMPLATE-006</x:v>
      </x:c>
      <x:c r="B7" s="30" t="str"/>
      <x:c r="C7" s="30" t="str"/>
      <x:c r="D7" s="30" t="str"/>
      <x:c r="E7" s="30" t="str"/>
      <x:c r="F7" s="30" t="str"/>
      <x:c r="G7" s="30" t="str"/>
      <x:c r="H7" s="30" t="str">
        <x:v>10</x:v>
      </x:c>
      <x:c r="I7" s="32" t="str">
        <x:f>IF(OR(G7="",H7=""),"",G7/H7)</x:f>
      </x:c>
      <x:c r="J7" s="30" t="str"/>
      <x:c r="K7" s="30" t="str"/>
      <x:c r="L7" s="30" t="str"/>
      <x:c r="M7" s="30" t="str"/>
      <x:c r="N7" s="30" t="str"/>
      <x:c r="O7" s="30" t="str"/>
      <x:c r="P7" s="30" t="str"/>
      <x:c r="Q7" s="30" t="str"/>
      <x:c r="R7" s="30" t="str"/>
      <x:c r="S7" s="30" t="str"/>
      <x:c r="T7" s="30" t="str"/>
      <x:c r="U7" s="30" t="str"/>
      <x:c r="V7" s="30" t="str"/>
      <x:c r="W7" s="30" t="str"/>
    </x:row>
    <x:row r="8">
      <x:c r="A8" s="30" t="str">
        <x:v>JUDGE-TEMPLATE-007</x:v>
      </x:c>
      <x:c r="B8" s="30" t="str"/>
      <x:c r="C8" s="30" t="str"/>
      <x:c r="D8" s="30" t="str"/>
      <x:c r="E8" s="30" t="str"/>
      <x:c r="F8" s="30" t="str"/>
      <x:c r="G8" s="30" t="str"/>
      <x:c r="H8" s="30" t="str">
        <x:v>10</x:v>
      </x:c>
      <x:c r="I8" s="32" t="str">
        <x:f>IF(OR(G8="",H8=""),"",G8/H8)</x:f>
      </x:c>
      <x:c r="J8" s="30" t="str"/>
      <x:c r="K8" s="30" t="str"/>
      <x:c r="L8" s="30" t="str"/>
      <x:c r="M8" s="30" t="str"/>
      <x:c r="N8" s="30" t="str"/>
      <x:c r="O8" s="30" t="str"/>
      <x:c r="P8" s="30" t="str"/>
      <x:c r="Q8" s="30" t="str"/>
      <x:c r="R8" s="30" t="str"/>
      <x:c r="S8" s="30" t="str"/>
      <x:c r="T8" s="30" t="str"/>
      <x:c r="U8" s="30" t="str"/>
      <x:c r="V8" s="30" t="str"/>
      <x:c r="W8" s="30" t="str"/>
    </x:row>
    <x:row r="9">
      <x:c r="A9" s="30" t="str">
        <x:v>JUDGE-TEMPLATE-008</x:v>
      </x:c>
      <x:c r="B9" s="30" t="str"/>
      <x:c r="C9" s="30" t="str"/>
      <x:c r="D9" s="30" t="str"/>
      <x:c r="E9" s="30" t="str"/>
      <x:c r="F9" s="30" t="str"/>
      <x:c r="G9" s="30" t="str"/>
      <x:c r="H9" s="30" t="str">
        <x:v>10</x:v>
      </x:c>
      <x:c r="I9" s="32" t="str">
        <x:f>IF(OR(G9="",H9=""),"",G9/H9)</x:f>
      </x:c>
      <x:c r="J9" s="30" t="str"/>
      <x:c r="K9" s="30" t="str"/>
      <x:c r="L9" s="30" t="str"/>
      <x:c r="M9" s="30" t="str"/>
      <x:c r="N9" s="30" t="str"/>
      <x:c r="O9" s="30" t="str"/>
      <x:c r="P9" s="30" t="str"/>
      <x:c r="Q9" s="30" t="str"/>
      <x:c r="R9" s="30" t="str"/>
      <x:c r="S9" s="30" t="str"/>
      <x:c r="T9" s="30" t="str"/>
      <x:c r="U9" s="30" t="str"/>
      <x:c r="V9" s="30" t="str"/>
      <x:c r="W9" s="30" t="str"/>
    </x:row>
    <x:row r="10">
      <x:c r="A10" s="30" t="str">
        <x:v>JUDGE-TEMPLATE-009</x:v>
      </x:c>
      <x:c r="B10" s="30" t="str"/>
      <x:c r="C10" s="30" t="str"/>
      <x:c r="D10" s="30" t="str"/>
      <x:c r="E10" s="30" t="str"/>
      <x:c r="F10" s="30" t="str"/>
      <x:c r="G10" s="30" t="str"/>
      <x:c r="H10" s="30" t="str">
        <x:v>10</x:v>
      </x:c>
      <x:c r="I10" s="32" t="str">
        <x:f>IF(OR(G10="",H10=""),"",G10/H10)</x:f>
      </x:c>
      <x:c r="J10" s="30" t="str"/>
      <x:c r="K10" s="30" t="str"/>
      <x:c r="L10" s="30" t="str"/>
      <x:c r="M10" s="30" t="str"/>
      <x:c r="N10" s="30" t="str"/>
      <x:c r="O10" s="30" t="str"/>
      <x:c r="P10" s="30" t="str"/>
      <x:c r="Q10" s="30" t="str"/>
      <x:c r="R10" s="30" t="str"/>
      <x:c r="S10" s="30" t="str"/>
      <x:c r="T10" s="30" t="str"/>
      <x:c r="U10" s="30" t="str"/>
      <x:c r="V10" s="30" t="str"/>
      <x:c r="W10" s="30" t="str"/>
    </x:row>
    <x:row r="11">
      <x:c r="A11" s="30" t="str">
        <x:v>JUDGE-TEMPLATE-010</x:v>
      </x:c>
      <x:c r="B11" s="30" t="str"/>
      <x:c r="C11" s="30" t="str"/>
      <x:c r="D11" s="30" t="str"/>
      <x:c r="E11" s="30" t="str"/>
      <x:c r="F11" s="30" t="str"/>
      <x:c r="G11" s="30" t="str"/>
      <x:c r="H11" s="30" t="str">
        <x:v>10</x:v>
      </x:c>
      <x:c r="I11" s="32" t="str">
        <x:f>IF(OR(G11="",H11=""),"",G11/H11)</x:f>
      </x:c>
      <x:c r="J11" s="30" t="str"/>
      <x:c r="K11" s="30" t="str"/>
      <x:c r="L11" s="30" t="str"/>
      <x:c r="M11" s="30" t="str"/>
      <x:c r="N11" s="30" t="str"/>
      <x:c r="O11" s="30" t="str"/>
      <x:c r="P11" s="30" t="str"/>
      <x:c r="Q11" s="30" t="str"/>
      <x:c r="R11" s="30" t="str"/>
      <x:c r="S11" s="30" t="str"/>
      <x:c r="T11" s="30" t="str"/>
      <x:c r="U11" s="30" t="str"/>
      <x:c r="V11" s="30" t="str"/>
      <x:c r="W11" s="30" t="str"/>
    </x:row>
    <x:row r="12">
      <x:c r="A12" s="30" t="str">
        <x:v>JUDGE-TEMPLATE-011</x:v>
      </x:c>
      <x:c r="B12" s="30" t="str"/>
      <x:c r="C12" s="30" t="str"/>
      <x:c r="D12" s="30" t="str"/>
      <x:c r="E12" s="30" t="str"/>
      <x:c r="F12" s="30" t="str"/>
      <x:c r="G12" s="30" t="str"/>
      <x:c r="H12" s="30" t="str">
        <x:v>10</x:v>
      </x:c>
      <x:c r="I12" s="32" t="str">
        <x:f>IF(OR(G12="",H12=""),"",G12/H12)</x:f>
      </x:c>
      <x:c r="J12" s="30" t="str"/>
      <x:c r="K12" s="30" t="str"/>
      <x:c r="L12" s="30" t="str"/>
      <x:c r="M12" s="30" t="str"/>
      <x:c r="N12" s="30" t="str"/>
      <x:c r="O12" s="30" t="str"/>
      <x:c r="P12" s="30" t="str"/>
      <x:c r="Q12" s="30" t="str"/>
      <x:c r="R12" s="30" t="str"/>
      <x:c r="S12" s="30" t="str"/>
      <x:c r="T12" s="30" t="str"/>
      <x:c r="U12" s="30" t="str"/>
      <x:c r="V12" s="30" t="str"/>
      <x:c r="W12" s="30" t="str"/>
    </x:row>
    <x:row r="13">
      <x:c r="A13" s="30" t="str">
        <x:v>JUDGE-TEMPLATE-012</x:v>
      </x:c>
      <x:c r="B13" s="30" t="str"/>
      <x:c r="C13" s="30" t="str"/>
      <x:c r="D13" s="30" t="str"/>
      <x:c r="E13" s="30" t="str"/>
      <x:c r="F13" s="30" t="str"/>
      <x:c r="G13" s="30" t="str"/>
      <x:c r="H13" s="30" t="str">
        <x:v>10</x:v>
      </x:c>
      <x:c r="I13" s="32" t="str">
        <x:f>IF(OR(G13="",H13=""),"",G13/H13)</x:f>
      </x:c>
      <x:c r="J13" s="30" t="str"/>
      <x:c r="K13" s="30" t="str"/>
      <x:c r="L13" s="30" t="str"/>
      <x:c r="M13" s="30" t="str"/>
      <x:c r="N13" s="30" t="str"/>
      <x:c r="O13" s="30" t="str"/>
      <x:c r="P13" s="30" t="str"/>
      <x:c r="Q13" s="30" t="str"/>
      <x:c r="R13" s="30" t="str"/>
      <x:c r="S13" s="30" t="str"/>
      <x:c r="T13" s="30" t="str"/>
      <x:c r="U13" s="30" t="str"/>
      <x:c r="V13" s="30" t="str"/>
      <x:c r="W13" s="30" t="str"/>
    </x:row>
    <x:row r="14">
      <x:c r="A14" s="30" t="str">
        <x:v>JUDGE-TEMPLATE-013</x:v>
      </x:c>
      <x:c r="B14" s="30" t="str"/>
      <x:c r="C14" s="30" t="str"/>
      <x:c r="D14" s="30" t="str"/>
      <x:c r="E14" s="30" t="str"/>
      <x:c r="F14" s="30" t="str"/>
      <x:c r="G14" s="30" t="str"/>
      <x:c r="H14" s="30" t="str">
        <x:v>10</x:v>
      </x:c>
      <x:c r="I14" s="32" t="str">
        <x:f>IF(OR(G14="",H14=""),"",G14/H14)</x:f>
      </x:c>
      <x:c r="J14" s="30" t="str"/>
      <x:c r="K14" s="30" t="str"/>
      <x:c r="L14" s="30" t="str"/>
      <x:c r="M14" s="30" t="str"/>
      <x:c r="N14" s="30" t="str"/>
      <x:c r="O14" s="30" t="str"/>
      <x:c r="P14" s="30" t="str"/>
      <x:c r="Q14" s="30" t="str"/>
      <x:c r="R14" s="30" t="str"/>
      <x:c r="S14" s="30" t="str"/>
      <x:c r="T14" s="30" t="str"/>
      <x:c r="U14" s="30" t="str"/>
      <x:c r="V14" s="30" t="str"/>
      <x:c r="W14" s="30" t="str"/>
    </x:row>
    <x:row r="15">
      <x:c r="A15" s="30" t="str">
        <x:v>JUDGE-TEMPLATE-014</x:v>
      </x:c>
      <x:c r="B15" s="30" t="str"/>
      <x:c r="C15" s="30" t="str"/>
      <x:c r="D15" s="30" t="str"/>
      <x:c r="E15" s="30" t="str"/>
      <x:c r="F15" s="30" t="str"/>
      <x:c r="G15" s="30" t="str"/>
      <x:c r="H15" s="30" t="str">
        <x:v>10</x:v>
      </x:c>
      <x:c r="I15" s="32" t="str">
        <x:f>IF(OR(G15="",H15=""),"",G15/H15)</x:f>
      </x:c>
      <x:c r="J15" s="30" t="str"/>
      <x:c r="K15" s="30" t="str"/>
      <x:c r="L15" s="30" t="str"/>
      <x:c r="M15" s="30" t="str"/>
      <x:c r="N15" s="30" t="str"/>
      <x:c r="O15" s="30" t="str"/>
      <x:c r="P15" s="30" t="str"/>
      <x:c r="Q15" s="30" t="str"/>
      <x:c r="R15" s="30" t="str"/>
      <x:c r="S15" s="30" t="str"/>
      <x:c r="T15" s="30" t="str"/>
      <x:c r="U15" s="30" t="str"/>
      <x:c r="V15" s="30" t="str"/>
      <x:c r="W15" s="30" t="str"/>
    </x:row>
    <x:row r="16">
      <x:c r="A16" s="30" t="str">
        <x:v>JUDGE-TEMPLATE-015</x:v>
      </x:c>
      <x:c r="B16" s="30" t="str"/>
      <x:c r="C16" s="30" t="str"/>
      <x:c r="D16" s="30" t="str"/>
      <x:c r="E16" s="30" t="str"/>
      <x:c r="F16" s="30" t="str"/>
      <x:c r="G16" s="30" t="str"/>
      <x:c r="H16" s="30" t="str">
        <x:v>10</x:v>
      </x:c>
      <x:c r="I16" s="32" t="str">
        <x:f>IF(OR(G16="",H16=""),"",G16/H16)</x:f>
      </x:c>
      <x:c r="J16" s="30" t="str"/>
      <x:c r="K16" s="30" t="str"/>
      <x:c r="L16" s="30" t="str"/>
      <x:c r="M16" s="30" t="str"/>
      <x:c r="N16" s="30" t="str"/>
      <x:c r="O16" s="30" t="str"/>
      <x:c r="P16" s="30" t="str"/>
      <x:c r="Q16" s="30" t="str"/>
      <x:c r="R16" s="30" t="str"/>
      <x:c r="S16" s="30" t="str"/>
      <x:c r="T16" s="30" t="str"/>
      <x:c r="U16" s="30" t="str"/>
      <x:c r="V16" s="30" t="str"/>
      <x:c r="W16" s="30" t="str"/>
    </x:row>
    <x:row r="17">
      <x:c r="A17" s="30" t="str">
        <x:v>JUDGE-TEMPLATE-016</x:v>
      </x:c>
      <x:c r="B17" s="30" t="str"/>
      <x:c r="C17" s="30" t="str"/>
      <x:c r="D17" s="30" t="str"/>
      <x:c r="E17" s="30" t="str"/>
      <x:c r="F17" s="30" t="str"/>
      <x:c r="G17" s="30" t="str"/>
      <x:c r="H17" s="30" t="str">
        <x:v>10</x:v>
      </x:c>
      <x:c r="I17" s="32" t="str">
        <x:f>IF(OR(G17="",H17=""),"",G17/H17)</x:f>
      </x:c>
      <x:c r="J17" s="30" t="str"/>
      <x:c r="K17" s="30" t="str"/>
      <x:c r="L17" s="30" t="str"/>
      <x:c r="M17" s="30" t="str"/>
      <x:c r="N17" s="30" t="str"/>
      <x:c r="O17" s="30" t="str"/>
      <x:c r="P17" s="30" t="str"/>
      <x:c r="Q17" s="30" t="str"/>
      <x:c r="R17" s="30" t="str"/>
      <x:c r="S17" s="30" t="str"/>
      <x:c r="T17" s="30" t="str"/>
      <x:c r="U17" s="30" t="str"/>
      <x:c r="V17" s="30" t="str"/>
      <x:c r="W17" s="30" t="str"/>
    </x:row>
    <x:row r="18">
      <x:c r="A18" s="30" t="str">
        <x:v>JUDGE-TEMPLATE-017</x:v>
      </x:c>
      <x:c r="B18" s="30" t="str"/>
      <x:c r="C18" s="30" t="str"/>
      <x:c r="D18" s="30" t="str"/>
      <x:c r="E18" s="30" t="str"/>
      <x:c r="F18" s="30" t="str"/>
      <x:c r="G18" s="30" t="str"/>
      <x:c r="H18" s="30" t="str">
        <x:v>10</x:v>
      </x:c>
      <x:c r="I18" s="32" t="str">
        <x:f>IF(OR(G18="",H18=""),"",G18/H18)</x:f>
      </x:c>
      <x:c r="J18" s="30" t="str"/>
      <x:c r="K18" s="30" t="str"/>
      <x:c r="L18" s="30" t="str"/>
      <x:c r="M18" s="30" t="str"/>
      <x:c r="N18" s="30" t="str"/>
      <x:c r="O18" s="30" t="str"/>
      <x:c r="P18" s="30" t="str"/>
      <x:c r="Q18" s="30" t="str"/>
      <x:c r="R18" s="30" t="str"/>
      <x:c r="S18" s="30" t="str"/>
      <x:c r="T18" s="30" t="str"/>
      <x:c r="U18" s="30" t="str"/>
      <x:c r="V18" s="30" t="str"/>
      <x:c r="W18" s="30" t="str"/>
    </x:row>
    <x:row r="19">
      <x:c r="A19" s="30" t="str">
        <x:v>JUDGE-TEMPLATE-018</x:v>
      </x:c>
      <x:c r="B19" s="30" t="str"/>
      <x:c r="C19" s="30" t="str"/>
      <x:c r="D19" s="30" t="str"/>
      <x:c r="E19" s="30" t="str"/>
      <x:c r="F19" s="30" t="str"/>
      <x:c r="G19" s="30" t="str"/>
      <x:c r="H19" s="30" t="str">
        <x:v>10</x:v>
      </x:c>
      <x:c r="I19" s="32" t="str">
        <x:f>IF(OR(G19="",H19=""),"",G19/H19)</x:f>
      </x:c>
      <x:c r="J19" s="30" t="str"/>
      <x:c r="K19" s="30" t="str"/>
      <x:c r="L19" s="30" t="str"/>
      <x:c r="M19" s="30" t="str"/>
      <x:c r="N19" s="30" t="str"/>
      <x:c r="O19" s="30" t="str"/>
      <x:c r="P19" s="30" t="str"/>
      <x:c r="Q19" s="30" t="str"/>
      <x:c r="R19" s="30" t="str"/>
      <x:c r="S19" s="30" t="str"/>
      <x:c r="T19" s="30" t="str"/>
      <x:c r="U19" s="30" t="str"/>
      <x:c r="V19" s="30" t="str"/>
      <x:c r="W19" s="30" t="str"/>
    </x:row>
    <x:row r="20">
      <x:c r="A20" s="30" t="str">
        <x:v>JUDGE-TEMPLATE-019</x:v>
      </x:c>
      <x:c r="B20" s="30" t="str"/>
      <x:c r="C20" s="30" t="str"/>
      <x:c r="D20" s="30" t="str"/>
      <x:c r="E20" s="30" t="str"/>
      <x:c r="F20" s="30" t="str"/>
      <x:c r="G20" s="30" t="str"/>
      <x:c r="H20" s="30" t="str">
        <x:v>10</x:v>
      </x:c>
      <x:c r="I20" s="32" t="str">
        <x:f>IF(OR(G20="",H20=""),"",G20/H20)</x:f>
      </x:c>
      <x:c r="J20" s="30" t="str"/>
      <x:c r="K20" s="30" t="str"/>
      <x:c r="L20" s="30" t="str"/>
      <x:c r="M20" s="30" t="str"/>
      <x:c r="N20" s="30" t="str"/>
      <x:c r="O20" s="30" t="str"/>
      <x:c r="P20" s="30" t="str"/>
      <x:c r="Q20" s="30" t="str"/>
      <x:c r="R20" s="30" t="str"/>
      <x:c r="S20" s="30" t="str"/>
      <x:c r="T20" s="30" t="str"/>
      <x:c r="U20" s="30" t="str"/>
      <x:c r="V20" s="30" t="str"/>
      <x:c r="W20" s="30" t="str"/>
    </x:row>
    <x:row r="21">
      <x:c r="A21" s="30" t="str">
        <x:v>JUDGE-TEMPLATE-020</x:v>
      </x:c>
      <x:c r="B21" s="30" t="str"/>
      <x:c r="C21" s="30" t="str"/>
      <x:c r="D21" s="30" t="str"/>
      <x:c r="E21" s="30" t="str"/>
      <x:c r="F21" s="30" t="str"/>
      <x:c r="G21" s="30" t="str"/>
      <x:c r="H21" s="30" t="str">
        <x:v>10</x:v>
      </x:c>
      <x:c r="I21" s="32" t="str">
        <x:f>IF(OR(G21="",H21=""),"",G21/H21)</x:f>
      </x:c>
      <x:c r="J21" s="30" t="str"/>
      <x:c r="K21" s="30" t="str"/>
      <x:c r="L21" s="30" t="str"/>
      <x:c r="M21" s="30" t="str"/>
      <x:c r="N21" s="30" t="str"/>
      <x:c r="O21" s="30" t="str"/>
      <x:c r="P21" s="30" t="str"/>
      <x:c r="Q21" s="30" t="str"/>
      <x:c r="R21" s="30" t="str"/>
      <x:c r="S21" s="30" t="str"/>
      <x:c r="T21" s="30" t="str"/>
      <x:c r="U21" s="30" t="str"/>
      <x:c r="V21" s="30" t="str"/>
      <x:c r="W21" s="30" t="str"/>
    </x:row>
    <x:row r="22">
      <x:c r="A22" s="30" t="str">
        <x:v>JUDGE-TEMPLATE-021</x:v>
      </x:c>
      <x:c r="B22" s="30" t="str"/>
      <x:c r="C22" s="30" t="str"/>
      <x:c r="D22" s="30" t="str"/>
      <x:c r="E22" s="30" t="str"/>
      <x:c r="F22" s="30" t="str"/>
      <x:c r="G22" s="30" t="str"/>
      <x:c r="H22" s="30" t="str">
        <x:v>10</x:v>
      </x:c>
      <x:c r="I22" s="32" t="str">
        <x:f>IF(OR(G22="",H22=""),"",G22/H22)</x:f>
      </x:c>
      <x:c r="J22" s="30" t="str"/>
      <x:c r="K22" s="30" t="str"/>
      <x:c r="L22" s="30" t="str"/>
      <x:c r="M22" s="30" t="str"/>
      <x:c r="N22" s="30" t="str"/>
      <x:c r="O22" s="30" t="str"/>
      <x:c r="P22" s="30" t="str"/>
      <x:c r="Q22" s="30" t="str"/>
      <x:c r="R22" s="30" t="str"/>
      <x:c r="S22" s="30" t="str"/>
      <x:c r="T22" s="30" t="str"/>
      <x:c r="U22" s="30" t="str"/>
      <x:c r="V22" s="30" t="str"/>
      <x:c r="W22" s="30" t="str"/>
    </x:row>
    <x:row r="23">
      <x:c r="A23" s="30" t="str">
        <x:v>JUDGE-TEMPLATE-022</x:v>
      </x:c>
      <x:c r="B23" s="30" t="str"/>
      <x:c r="C23" s="30" t="str"/>
      <x:c r="D23" s="30" t="str"/>
      <x:c r="E23" s="30" t="str"/>
      <x:c r="F23" s="30" t="str"/>
      <x:c r="G23" s="30" t="str"/>
      <x:c r="H23" s="30" t="str">
        <x:v>10</x:v>
      </x:c>
      <x:c r="I23" s="32" t="str">
        <x:f>IF(OR(G23="",H23=""),"",G23/H23)</x:f>
      </x:c>
      <x:c r="J23" s="30" t="str"/>
      <x:c r="K23" s="30" t="str"/>
      <x:c r="L23" s="30" t="str"/>
      <x:c r="M23" s="30" t="str"/>
      <x:c r="N23" s="30" t="str"/>
      <x:c r="O23" s="30" t="str"/>
      <x:c r="P23" s="30" t="str"/>
      <x:c r="Q23" s="30" t="str"/>
      <x:c r="R23" s="30" t="str"/>
      <x:c r="S23" s="30" t="str"/>
      <x:c r="T23" s="30" t="str"/>
      <x:c r="U23" s="30" t="str"/>
      <x:c r="V23" s="30" t="str"/>
      <x:c r="W23" s="30" t="str"/>
    </x:row>
    <x:row r="24">
      <x:c r="A24" s="30" t="str">
        <x:v>JUDGE-TEMPLATE-023</x:v>
      </x:c>
      <x:c r="B24" s="30" t="str"/>
      <x:c r="C24" s="30" t="str"/>
      <x:c r="D24" s="30" t="str"/>
      <x:c r="E24" s="30" t="str"/>
      <x:c r="F24" s="30" t="str"/>
      <x:c r="G24" s="30" t="str"/>
      <x:c r="H24" s="30" t="str">
        <x:v>10</x:v>
      </x:c>
      <x:c r="I24" s="32" t="str">
        <x:f>IF(OR(G24="",H24=""),"",G24/H24)</x:f>
      </x:c>
      <x:c r="J24" s="30" t="str"/>
      <x:c r="K24" s="30" t="str"/>
      <x:c r="L24" s="30" t="str"/>
      <x:c r="M24" s="30" t="str"/>
      <x:c r="N24" s="30" t="str"/>
      <x:c r="O24" s="30" t="str"/>
      <x:c r="P24" s="30" t="str"/>
      <x:c r="Q24" s="30" t="str"/>
      <x:c r="R24" s="30" t="str"/>
      <x:c r="S24" s="30" t="str"/>
      <x:c r="T24" s="30" t="str"/>
      <x:c r="U24" s="30" t="str"/>
      <x:c r="V24" s="30" t="str"/>
      <x:c r="W24" s="30" t="str"/>
    </x:row>
    <x:row r="25">
      <x:c r="A25" s="30" t="str">
        <x:v>JUDGE-TEMPLATE-024</x:v>
      </x:c>
      <x:c r="B25" s="30" t="str"/>
      <x:c r="C25" s="30" t="str"/>
      <x:c r="D25" s="30" t="str"/>
      <x:c r="E25" s="30" t="str"/>
      <x:c r="F25" s="30" t="str"/>
      <x:c r="G25" s="30" t="str"/>
      <x:c r="H25" s="30" t="str">
        <x:v>10</x:v>
      </x:c>
      <x:c r="I25" s="32" t="str">
        <x:f>IF(OR(G25="",H25=""),"",G25/H25)</x:f>
      </x:c>
      <x:c r="J25" s="30" t="str"/>
      <x:c r="K25" s="30" t="str"/>
      <x:c r="L25" s="30" t="str"/>
      <x:c r="M25" s="30" t="str"/>
      <x:c r="N25" s="30" t="str"/>
      <x:c r="O25" s="30" t="str"/>
      <x:c r="P25" s="30" t="str"/>
      <x:c r="Q25" s="30" t="str"/>
      <x:c r="R25" s="30" t="str"/>
      <x:c r="S25" s="30" t="str"/>
      <x:c r="T25" s="30" t="str"/>
      <x:c r="U25" s="30" t="str"/>
      <x:c r="V25" s="30" t="str"/>
      <x:c r="W25" s="30" t="str"/>
    </x:row>
    <x:row r="26">
      <x:c r="A26" s="30" t="str">
        <x:v>JUDGE-TEMPLATE-025</x:v>
      </x:c>
      <x:c r="B26" s="30" t="str"/>
      <x:c r="C26" s="30" t="str"/>
      <x:c r="D26" s="30" t="str"/>
      <x:c r="E26" s="30" t="str"/>
      <x:c r="F26" s="30" t="str"/>
      <x:c r="G26" s="30" t="str"/>
      <x:c r="H26" s="30" t="str">
        <x:v>10</x:v>
      </x:c>
      <x:c r="I26" s="32" t="str">
        <x:f>IF(OR(G26="",H26=""),"",G26/H26)</x:f>
      </x:c>
      <x:c r="J26" s="30" t="str"/>
      <x:c r="K26" s="30" t="str"/>
      <x:c r="L26" s="30" t="str"/>
      <x:c r="M26" s="30" t="str"/>
      <x:c r="N26" s="30" t="str"/>
      <x:c r="O26" s="30" t="str"/>
      <x:c r="P26" s="30" t="str"/>
      <x:c r="Q26" s="30" t="str"/>
      <x:c r="R26" s="30" t="str"/>
      <x:c r="S26" s="30" t="str"/>
      <x:c r="T26" s="30" t="str"/>
      <x:c r="U26" s="30" t="str"/>
      <x:c r="V26" s="30" t="str"/>
      <x:c r="W26" s="30" t="str"/>
    </x:row>
    <x:row r="27">
      <x:c r="A27" s="30" t="str">
        <x:v>JUDGE-TEMPLATE-026</x:v>
      </x:c>
      <x:c r="B27" s="30" t="str"/>
      <x:c r="C27" s="30" t="str"/>
      <x:c r="D27" s="30" t="str"/>
      <x:c r="E27" s="30" t="str"/>
      <x:c r="F27" s="30" t="str"/>
      <x:c r="G27" s="30" t="str"/>
      <x:c r="H27" s="30" t="str">
        <x:v>10</x:v>
      </x:c>
      <x:c r="I27" s="32" t="str">
        <x:f>IF(OR(G27="",H27=""),"",G27/H27)</x:f>
      </x:c>
      <x:c r="J27" s="30" t="str"/>
      <x:c r="K27" s="30" t="str"/>
      <x:c r="L27" s="30" t="str"/>
      <x:c r="M27" s="30" t="str"/>
      <x:c r="N27" s="30" t="str"/>
      <x:c r="O27" s="30" t="str"/>
      <x:c r="P27" s="30" t="str"/>
      <x:c r="Q27" s="30" t="str"/>
      <x:c r="R27" s="30" t="str"/>
      <x:c r="S27" s="30" t="str"/>
      <x:c r="T27" s="30" t="str"/>
      <x:c r="U27" s="30" t="str"/>
      <x:c r="V27" s="30" t="str"/>
      <x:c r="W27" s="30" t="str"/>
    </x:row>
    <x:row r="28">
      <x:c r="A28" s="30" t="str">
        <x:v>JUDGE-TEMPLATE-027</x:v>
      </x:c>
      <x:c r="B28" s="30" t="str"/>
      <x:c r="C28" s="30" t="str"/>
      <x:c r="D28" s="30" t="str"/>
      <x:c r="E28" s="30" t="str"/>
      <x:c r="F28" s="30" t="str"/>
      <x:c r="G28" s="30" t="str"/>
      <x:c r="H28" s="30" t="str">
        <x:v>10</x:v>
      </x:c>
      <x:c r="I28" s="32" t="str">
        <x:f>IF(OR(G28="",H28=""),"",G28/H28)</x:f>
      </x:c>
      <x:c r="J28" s="30" t="str"/>
      <x:c r="K28" s="30" t="str"/>
      <x:c r="L28" s="30" t="str"/>
      <x:c r="M28" s="30" t="str"/>
      <x:c r="N28" s="30" t="str"/>
      <x:c r="O28" s="30" t="str"/>
      <x:c r="P28" s="30" t="str"/>
      <x:c r="Q28" s="30" t="str"/>
      <x:c r="R28" s="30" t="str"/>
      <x:c r="S28" s="30" t="str"/>
      <x:c r="T28" s="30" t="str"/>
      <x:c r="U28" s="30" t="str"/>
      <x:c r="V28" s="30" t="str"/>
      <x:c r="W28" s="30" t="str"/>
    </x:row>
    <x:row r="29">
      <x:c r="A29" s="30" t="str">
        <x:v>JUDGE-TEMPLATE-028</x:v>
      </x:c>
      <x:c r="B29" s="30" t="str"/>
      <x:c r="C29" s="30" t="str"/>
      <x:c r="D29" s="30" t="str"/>
      <x:c r="E29" s="30" t="str"/>
      <x:c r="F29" s="30" t="str"/>
      <x:c r="G29" s="30" t="str"/>
      <x:c r="H29" s="30" t="str">
        <x:v>10</x:v>
      </x:c>
      <x:c r="I29" s="32" t="str">
        <x:f>IF(OR(G29="",H29=""),"",G29/H29)</x:f>
      </x:c>
      <x:c r="J29" s="30" t="str"/>
      <x:c r="K29" s="30" t="str"/>
      <x:c r="L29" s="30" t="str"/>
      <x:c r="M29" s="30" t="str"/>
      <x:c r="N29" s="30" t="str"/>
      <x:c r="O29" s="30" t="str"/>
      <x:c r="P29" s="30" t="str"/>
      <x:c r="Q29" s="30" t="str"/>
      <x:c r="R29" s="30" t="str"/>
      <x:c r="S29" s="30" t="str"/>
      <x:c r="T29" s="30" t="str"/>
      <x:c r="U29" s="30" t="str"/>
      <x:c r="V29" s="30" t="str"/>
      <x:c r="W29" s="30" t="str"/>
    </x:row>
    <x:row r="30">
      <x:c r="A30" s="30" t="str">
        <x:v>JUDGE-TEMPLATE-029</x:v>
      </x:c>
      <x:c r="B30" s="30" t="str"/>
      <x:c r="C30" s="30" t="str"/>
      <x:c r="D30" s="30" t="str"/>
      <x:c r="E30" s="30" t="str"/>
      <x:c r="F30" s="30" t="str"/>
      <x:c r="G30" s="30" t="str"/>
      <x:c r="H30" s="30" t="str">
        <x:v>10</x:v>
      </x:c>
      <x:c r="I30" s="32" t="str">
        <x:f>IF(OR(G30="",H30=""),"",G30/H30)</x:f>
      </x:c>
      <x:c r="J30" s="30" t="str"/>
      <x:c r="K30" s="30" t="str"/>
      <x:c r="L30" s="30" t="str"/>
      <x:c r="M30" s="30" t="str"/>
      <x:c r="N30" s="30" t="str"/>
      <x:c r="O30" s="30" t="str"/>
      <x:c r="P30" s="30" t="str"/>
      <x:c r="Q30" s="30" t="str"/>
      <x:c r="R30" s="30" t="str"/>
      <x:c r="S30" s="30" t="str"/>
      <x:c r="T30" s="30" t="str"/>
      <x:c r="U30" s="30" t="str"/>
      <x:c r="V30" s="30" t="str"/>
      <x:c r="W30" s="30" t="str"/>
    </x:row>
    <x:row r="31">
      <x:c r="A31" s="30" t="str">
        <x:v>JUDGE-TEMPLATE-030</x:v>
      </x:c>
      <x:c r="B31" s="30" t="str"/>
      <x:c r="C31" s="30" t="str"/>
      <x:c r="D31" s="30" t="str"/>
      <x:c r="E31" s="30" t="str"/>
      <x:c r="F31" s="30" t="str"/>
      <x:c r="G31" s="30" t="str"/>
      <x:c r="H31" s="30" t="str">
        <x:v>10</x:v>
      </x:c>
      <x:c r="I31" s="32" t="str">
        <x:f>IF(OR(G31="",H31=""),"",G31/H31)</x:f>
      </x:c>
      <x:c r="J31" s="30" t="str"/>
      <x:c r="K31" s="30" t="str"/>
      <x:c r="L31" s="30" t="str"/>
      <x:c r="M31" s="30" t="str"/>
      <x:c r="N31" s="30" t="str"/>
      <x:c r="O31" s="30" t="str"/>
      <x:c r="P31" s="30" t="str"/>
      <x:c r="Q31" s="30" t="str"/>
      <x:c r="R31" s="30" t="str"/>
      <x:c r="S31" s="30" t="str"/>
      <x:c r="T31" s="30" t="str"/>
      <x:c r="U31" s="30" t="str"/>
      <x:c r="V31" s="30" t="str"/>
      <x:c r="W31" s="30" t="str"/>
    </x:row>
    <x:row r="32">
      <x:c r="A32" s="30" t="str">
        <x:v>JUDGE-TEMPLATE-031</x:v>
      </x:c>
      <x:c r="B32" s="30" t="str"/>
      <x:c r="C32" s="30" t="str"/>
      <x:c r="D32" s="30" t="str"/>
      <x:c r="E32" s="30" t="str"/>
      <x:c r="F32" s="30" t="str"/>
      <x:c r="G32" s="30" t="str"/>
      <x:c r="H32" s="30" t="str">
        <x:v>10</x:v>
      </x:c>
      <x:c r="I32" s="32" t="str">
        <x:f>IF(OR(G32="",H32=""),"",G32/H32)</x:f>
      </x:c>
      <x:c r="J32" s="30" t="str"/>
      <x:c r="K32" s="30" t="str"/>
      <x:c r="L32" s="30" t="str"/>
      <x:c r="M32" s="30" t="str"/>
      <x:c r="N32" s="30" t="str"/>
      <x:c r="O32" s="30" t="str"/>
      <x:c r="P32" s="30" t="str"/>
      <x:c r="Q32" s="30" t="str"/>
      <x:c r="R32" s="30" t="str"/>
      <x:c r="S32" s="30" t="str"/>
      <x:c r="T32" s="30" t="str"/>
      <x:c r="U32" s="30" t="str"/>
      <x:c r="V32" s="30" t="str"/>
      <x:c r="W32" s="30" t="str"/>
    </x:row>
    <x:row r="33">
      <x:c r="A33" s="30" t="str">
        <x:v>JUDGE-TEMPLATE-032</x:v>
      </x:c>
      <x:c r="B33" s="30" t="str"/>
      <x:c r="C33" s="30" t="str"/>
      <x:c r="D33" s="30" t="str"/>
      <x:c r="E33" s="30" t="str"/>
      <x:c r="F33" s="30" t="str"/>
      <x:c r="G33" s="30" t="str"/>
      <x:c r="H33" s="30" t="str">
        <x:v>10</x:v>
      </x:c>
      <x:c r="I33" s="32" t="str">
        <x:f>IF(OR(G33="",H33=""),"",G33/H33)</x:f>
      </x:c>
      <x:c r="J33" s="30" t="str"/>
      <x:c r="K33" s="30" t="str"/>
      <x:c r="L33" s="30" t="str"/>
      <x:c r="M33" s="30" t="str"/>
      <x:c r="N33" s="30" t="str"/>
      <x:c r="O33" s="30" t="str"/>
      <x:c r="P33" s="30" t="str"/>
      <x:c r="Q33" s="30" t="str"/>
      <x:c r="R33" s="30" t="str"/>
      <x:c r="S33" s="30" t="str"/>
      <x:c r="T33" s="30" t="str"/>
      <x:c r="U33" s="30" t="str"/>
      <x:c r="V33" s="30" t="str"/>
      <x:c r="W33" s="30" t="str"/>
    </x:row>
    <x:row r="34">
      <x:c r="A34" s="30" t="str">
        <x:v>JUDGE-TEMPLATE-033</x:v>
      </x:c>
      <x:c r="B34" s="30" t="str"/>
      <x:c r="C34" s="30" t="str"/>
      <x:c r="D34" s="30" t="str"/>
      <x:c r="E34" s="30" t="str"/>
      <x:c r="F34" s="30" t="str"/>
      <x:c r="G34" s="30" t="str"/>
      <x:c r="H34" s="30" t="str">
        <x:v>10</x:v>
      </x:c>
      <x:c r="I34" s="32" t="str">
        <x:f>IF(OR(G34="",H34=""),"",G34/H34)</x:f>
      </x:c>
      <x:c r="J34" s="30" t="str"/>
      <x:c r="K34" s="30" t="str"/>
      <x:c r="L34" s="30" t="str"/>
      <x:c r="M34" s="30" t="str"/>
      <x:c r="N34" s="30" t="str"/>
      <x:c r="O34" s="30" t="str"/>
      <x:c r="P34" s="30" t="str"/>
      <x:c r="Q34" s="30" t="str"/>
      <x:c r="R34" s="30" t="str"/>
      <x:c r="S34" s="30" t="str"/>
      <x:c r="T34" s="30" t="str"/>
      <x:c r="U34" s="30" t="str"/>
      <x:c r="V34" s="30" t="str"/>
      <x:c r="W34" s="30" t="str"/>
    </x:row>
    <x:row r="35">
      <x:c r="A35" s="30" t="str">
        <x:v>JUDGE-TEMPLATE-034</x:v>
      </x:c>
      <x:c r="B35" s="30" t="str"/>
      <x:c r="C35" s="30" t="str"/>
      <x:c r="D35" s="30" t="str"/>
      <x:c r="E35" s="30" t="str"/>
      <x:c r="F35" s="30" t="str"/>
      <x:c r="G35" s="30" t="str"/>
      <x:c r="H35" s="30" t="str">
        <x:v>10</x:v>
      </x:c>
      <x:c r="I35" s="32" t="str">
        <x:f>IF(OR(G35="",H35=""),"",G35/H35)</x:f>
      </x:c>
      <x:c r="J35" s="30" t="str"/>
      <x:c r="K35" s="30" t="str"/>
      <x:c r="L35" s="30" t="str"/>
      <x:c r="M35" s="30" t="str"/>
      <x:c r="N35" s="30" t="str"/>
      <x:c r="O35" s="30" t="str"/>
      <x:c r="P35" s="30" t="str"/>
      <x:c r="Q35" s="30" t="str"/>
      <x:c r="R35" s="30" t="str"/>
      <x:c r="S35" s="30" t="str"/>
      <x:c r="T35" s="30" t="str"/>
      <x:c r="U35" s="30" t="str"/>
      <x:c r="V35" s="30" t="str"/>
      <x:c r="W35" s="30" t="str"/>
    </x:row>
    <x:row r="36">
      <x:c r="A36" s="30" t="str">
        <x:v>JUDGE-TEMPLATE-035</x:v>
      </x:c>
      <x:c r="B36" s="30" t="str"/>
      <x:c r="C36" s="30" t="str"/>
      <x:c r="D36" s="30" t="str"/>
      <x:c r="E36" s="30" t="str"/>
      <x:c r="F36" s="30" t="str"/>
      <x:c r="G36" s="30" t="str"/>
      <x:c r="H36" s="30" t="str">
        <x:v>10</x:v>
      </x:c>
      <x:c r="I36" s="32" t="str">
        <x:f>IF(OR(G36="",H36=""),"",G36/H36)</x:f>
      </x:c>
      <x:c r="J36" s="30" t="str"/>
      <x:c r="K36" s="30" t="str"/>
      <x:c r="L36" s="30" t="str"/>
      <x:c r="M36" s="30" t="str"/>
      <x:c r="N36" s="30" t="str"/>
      <x:c r="O36" s="30" t="str"/>
      <x:c r="P36" s="30" t="str"/>
      <x:c r="Q36" s="30" t="str"/>
      <x:c r="R36" s="30" t="str"/>
      <x:c r="S36" s="30" t="str"/>
      <x:c r="T36" s="30" t="str"/>
      <x:c r="U36" s="30" t="str"/>
      <x:c r="V36" s="30" t="str"/>
      <x:c r="W36" s="30" t="str"/>
    </x:row>
    <x:row r="37">
      <x:c r="A37" s="30" t="str">
        <x:v>JUDGE-TEMPLATE-036</x:v>
      </x:c>
      <x:c r="B37" s="30" t="str"/>
      <x:c r="C37" s="30" t="str"/>
      <x:c r="D37" s="30" t="str"/>
      <x:c r="E37" s="30" t="str"/>
      <x:c r="F37" s="30" t="str"/>
      <x:c r="G37" s="30" t="str"/>
      <x:c r="H37" s="30" t="str">
        <x:v>10</x:v>
      </x:c>
      <x:c r="I37" s="32" t="str">
        <x:f>IF(OR(G37="",H37=""),"",G37/H37)</x:f>
      </x:c>
      <x:c r="J37" s="30" t="str"/>
      <x:c r="K37" s="30" t="str"/>
      <x:c r="L37" s="30" t="str"/>
      <x:c r="M37" s="30" t="str"/>
      <x:c r="N37" s="30" t="str"/>
      <x:c r="O37" s="30" t="str"/>
      <x:c r="P37" s="30" t="str"/>
      <x:c r="Q37" s="30" t="str"/>
      <x:c r="R37" s="30" t="str"/>
      <x:c r="S37" s="30" t="str"/>
      <x:c r="T37" s="30" t="str"/>
      <x:c r="U37" s="30" t="str"/>
      <x:c r="V37" s="30" t="str"/>
      <x:c r="W37" s="30" t="str"/>
    </x:row>
    <x:row r="38">
      <x:c r="A38" s="30" t="str">
        <x:v>JUDGE-TEMPLATE-037</x:v>
      </x:c>
      <x:c r="B38" s="30" t="str"/>
      <x:c r="C38" s="30" t="str"/>
      <x:c r="D38" s="30" t="str"/>
      <x:c r="E38" s="30" t="str"/>
      <x:c r="F38" s="30" t="str"/>
      <x:c r="G38" s="30" t="str"/>
      <x:c r="H38" s="30" t="str">
        <x:v>10</x:v>
      </x:c>
      <x:c r="I38" s="32" t="str">
        <x:f>IF(OR(G38="",H38=""),"",G38/H38)</x:f>
      </x:c>
      <x:c r="J38" s="30" t="str"/>
      <x:c r="K38" s="30" t="str"/>
      <x:c r="L38" s="30" t="str"/>
      <x:c r="M38" s="30" t="str"/>
      <x:c r="N38" s="30" t="str"/>
      <x:c r="O38" s="30" t="str"/>
      <x:c r="P38" s="30" t="str"/>
      <x:c r="Q38" s="30" t="str"/>
      <x:c r="R38" s="30" t="str"/>
      <x:c r="S38" s="30" t="str"/>
      <x:c r="T38" s="30" t="str"/>
      <x:c r="U38" s="30" t="str"/>
      <x:c r="V38" s="30" t="str"/>
      <x:c r="W38" s="30" t="str"/>
    </x:row>
    <x:row r="39">
      <x:c r="A39" s="30" t="str">
        <x:v>JUDGE-TEMPLATE-038</x:v>
      </x:c>
      <x:c r="B39" s="30" t="str"/>
      <x:c r="C39" s="30" t="str"/>
      <x:c r="D39" s="30" t="str"/>
      <x:c r="E39" s="30" t="str"/>
      <x:c r="F39" s="30" t="str"/>
      <x:c r="G39" s="30" t="str"/>
      <x:c r="H39" s="30" t="str">
        <x:v>10</x:v>
      </x:c>
      <x:c r="I39" s="32" t="str">
        <x:f>IF(OR(G39="",H39=""),"",G39/H39)</x:f>
      </x:c>
      <x:c r="J39" s="30" t="str"/>
      <x:c r="K39" s="30" t="str"/>
      <x:c r="L39" s="30" t="str"/>
      <x:c r="M39" s="30" t="str"/>
      <x:c r="N39" s="30" t="str"/>
      <x:c r="O39" s="30" t="str"/>
      <x:c r="P39" s="30" t="str"/>
      <x:c r="Q39" s="30" t="str"/>
      <x:c r="R39" s="30" t="str"/>
      <x:c r="S39" s="30" t="str"/>
      <x:c r="T39" s="30" t="str"/>
      <x:c r="U39" s="30" t="str"/>
      <x:c r="V39" s="30" t="str"/>
      <x:c r="W39" s="30" t="str"/>
    </x:row>
    <x:row r="40">
      <x:c r="A40" s="30" t="str">
        <x:v>JUDGE-TEMPLATE-039</x:v>
      </x:c>
      <x:c r="B40" s="30" t="str"/>
      <x:c r="C40" s="30" t="str"/>
      <x:c r="D40" s="30" t="str"/>
      <x:c r="E40" s="30" t="str"/>
      <x:c r="F40" s="30" t="str"/>
      <x:c r="G40" s="30" t="str"/>
      <x:c r="H40" s="30" t="str">
        <x:v>10</x:v>
      </x:c>
      <x:c r="I40" s="32" t="str">
        <x:f>IF(OR(G40="",H40=""),"",G40/H40)</x:f>
      </x:c>
      <x:c r="J40" s="30" t="str"/>
      <x:c r="K40" s="30" t="str"/>
      <x:c r="L40" s="30" t="str"/>
      <x:c r="M40" s="30" t="str"/>
      <x:c r="N40" s="30" t="str"/>
      <x:c r="O40" s="30" t="str"/>
      <x:c r="P40" s="30" t="str"/>
      <x:c r="Q40" s="30" t="str"/>
      <x:c r="R40" s="30" t="str"/>
      <x:c r="S40" s="30" t="str"/>
      <x:c r="T40" s="30" t="str"/>
      <x:c r="U40" s="30" t="str"/>
      <x:c r="V40" s="30" t="str"/>
      <x:c r="W40" s="30" t="str"/>
    </x:row>
    <x:row r="41">
      <x:c r="A41" s="30" t="str">
        <x:v>JUDGE-TEMPLATE-040</x:v>
      </x:c>
      <x:c r="B41" s="30" t="str"/>
      <x:c r="C41" s="30" t="str"/>
      <x:c r="D41" s="30" t="str"/>
      <x:c r="E41" s="30" t="str"/>
      <x:c r="F41" s="30" t="str"/>
      <x:c r="G41" s="30" t="str"/>
      <x:c r="H41" s="30" t="str">
        <x:v>10</x:v>
      </x:c>
      <x:c r="I41" s="32" t="str">
        <x:f>IF(OR(G41="",H41=""),"",G41/H41)</x:f>
      </x:c>
      <x:c r="J41" s="30" t="str"/>
      <x:c r="K41" s="30" t="str"/>
      <x:c r="L41" s="30" t="str"/>
      <x:c r="M41" s="30" t="str"/>
      <x:c r="N41" s="30" t="str"/>
      <x:c r="O41" s="30" t="str"/>
      <x:c r="P41" s="30" t="str"/>
      <x:c r="Q41" s="30" t="str"/>
      <x:c r="R41" s="30" t="str"/>
      <x:c r="S41" s="30" t="str"/>
      <x:c r="T41" s="30" t="str"/>
      <x:c r="U41" s="30" t="str"/>
      <x:c r="V41" s="30" t="str"/>
      <x:c r="W41" s="30" t="str"/>
    </x:row>
    <x:row r="42">
      <x:c r="A42" s="30" t="str">
        <x:v>JUDGE-TEMPLATE-041</x:v>
      </x:c>
      <x:c r="B42" s="30" t="str"/>
      <x:c r="C42" s="30" t="str"/>
      <x:c r="D42" s="30" t="str"/>
      <x:c r="E42" s="30" t="str"/>
      <x:c r="F42" s="30" t="str"/>
      <x:c r="G42" s="30" t="str"/>
      <x:c r="H42" s="30" t="str">
        <x:v>10</x:v>
      </x:c>
      <x:c r="I42" s="32" t="str">
        <x:f>IF(OR(G42="",H42=""),"",G42/H42)</x:f>
      </x:c>
      <x:c r="J42" s="30" t="str"/>
      <x:c r="K42" s="30" t="str"/>
      <x:c r="L42" s="30" t="str"/>
      <x:c r="M42" s="30" t="str"/>
      <x:c r="N42" s="30" t="str"/>
      <x:c r="O42" s="30" t="str"/>
      <x:c r="P42" s="30" t="str"/>
      <x:c r="Q42" s="30" t="str"/>
      <x:c r="R42" s="30" t="str"/>
      <x:c r="S42" s="30" t="str"/>
      <x:c r="T42" s="30" t="str"/>
      <x:c r="U42" s="30" t="str"/>
      <x:c r="V42" s="30" t="str"/>
      <x:c r="W42" s="30" t="str"/>
    </x:row>
    <x:row r="43">
      <x:c r="A43" s="30" t="str">
        <x:v>JUDGE-TEMPLATE-042</x:v>
      </x:c>
      <x:c r="B43" s="30" t="str"/>
      <x:c r="C43" s="30" t="str"/>
      <x:c r="D43" s="30" t="str"/>
      <x:c r="E43" s="30" t="str"/>
      <x:c r="F43" s="30" t="str"/>
      <x:c r="G43" s="30" t="str"/>
      <x:c r="H43" s="30" t="str">
        <x:v>10</x:v>
      </x:c>
      <x:c r="I43" s="32" t="str">
        <x:f>IF(OR(G43="",H43=""),"",G43/H43)</x:f>
      </x:c>
      <x:c r="J43" s="30" t="str"/>
      <x:c r="K43" s="30" t="str"/>
      <x:c r="L43" s="30" t="str"/>
      <x:c r="M43" s="30" t="str"/>
      <x:c r="N43" s="30" t="str"/>
      <x:c r="O43" s="30" t="str"/>
      <x:c r="P43" s="30" t="str"/>
      <x:c r="Q43" s="30" t="str"/>
      <x:c r="R43" s="30" t="str"/>
      <x:c r="S43" s="30" t="str"/>
      <x:c r="T43" s="30" t="str"/>
      <x:c r="U43" s="30" t="str"/>
      <x:c r="V43" s="30" t="str"/>
      <x:c r="W43" s="30" t="str"/>
    </x:row>
    <x:row r="44">
      <x:c r="A44" s="30" t="str">
        <x:v>JUDGE-TEMPLATE-043</x:v>
      </x:c>
      <x:c r="B44" s="30" t="str"/>
      <x:c r="C44" s="30" t="str"/>
      <x:c r="D44" s="30" t="str"/>
      <x:c r="E44" s="30" t="str"/>
      <x:c r="F44" s="30" t="str"/>
      <x:c r="G44" s="30" t="str"/>
      <x:c r="H44" s="30" t="str">
        <x:v>10</x:v>
      </x:c>
      <x:c r="I44" s="32" t="str">
        <x:f>IF(OR(G44="",H44=""),"",G44/H44)</x:f>
      </x:c>
      <x:c r="J44" s="30" t="str"/>
      <x:c r="K44" s="30" t="str"/>
      <x:c r="L44" s="30" t="str"/>
      <x:c r="M44" s="30" t="str"/>
      <x:c r="N44" s="30" t="str"/>
      <x:c r="O44" s="30" t="str"/>
      <x:c r="P44" s="30" t="str"/>
      <x:c r="Q44" s="30" t="str"/>
      <x:c r="R44" s="30" t="str"/>
      <x:c r="S44" s="30" t="str"/>
      <x:c r="T44" s="30" t="str"/>
      <x:c r="U44" s="30" t="str"/>
      <x:c r="V44" s="30" t="str"/>
      <x:c r="W44" s="30" t="str"/>
    </x:row>
    <x:row r="45">
      <x:c r="A45" s="30" t="str">
        <x:v>JUDGE-TEMPLATE-044</x:v>
      </x:c>
      <x:c r="B45" s="30" t="str"/>
      <x:c r="C45" s="30" t="str"/>
      <x:c r="D45" s="30" t="str"/>
      <x:c r="E45" s="30" t="str"/>
      <x:c r="F45" s="30" t="str"/>
      <x:c r="G45" s="30" t="str"/>
      <x:c r="H45" s="30" t="str">
        <x:v>10</x:v>
      </x:c>
      <x:c r="I45" s="32" t="str">
        <x:f>IF(OR(G45="",H45=""),"",G45/H45)</x:f>
      </x:c>
      <x:c r="J45" s="30" t="str"/>
      <x:c r="K45" s="30" t="str"/>
      <x:c r="L45" s="30" t="str"/>
      <x:c r="M45" s="30" t="str"/>
      <x:c r="N45" s="30" t="str"/>
      <x:c r="O45" s="30" t="str"/>
      <x:c r="P45" s="30" t="str"/>
      <x:c r="Q45" s="30" t="str"/>
      <x:c r="R45" s="30" t="str"/>
      <x:c r="S45" s="30" t="str"/>
      <x:c r="T45" s="30" t="str"/>
      <x:c r="U45" s="30" t="str"/>
      <x:c r="V45" s="30" t="str"/>
      <x:c r="W45" s="30" t="str"/>
    </x:row>
    <x:row r="46">
      <x:c r="A46" s="30" t="str">
        <x:v>JUDGE-TEMPLATE-045</x:v>
      </x:c>
      <x:c r="B46" s="30" t="str"/>
      <x:c r="C46" s="30" t="str"/>
      <x:c r="D46" s="30" t="str"/>
      <x:c r="E46" s="30" t="str"/>
      <x:c r="F46" s="30" t="str"/>
      <x:c r="G46" s="30" t="str"/>
      <x:c r="H46" s="30" t="str">
        <x:v>10</x:v>
      </x:c>
      <x:c r="I46" s="32" t="str">
        <x:f>IF(OR(G46="",H46=""),"",G46/H46)</x:f>
      </x:c>
      <x:c r="J46" s="30" t="str"/>
      <x:c r="K46" s="30" t="str"/>
      <x:c r="L46" s="30" t="str"/>
      <x:c r="M46" s="30" t="str"/>
      <x:c r="N46" s="30" t="str"/>
      <x:c r="O46" s="30" t="str"/>
      <x:c r="P46" s="30" t="str"/>
      <x:c r="Q46" s="30" t="str"/>
      <x:c r="R46" s="30" t="str"/>
      <x:c r="S46" s="30" t="str"/>
      <x:c r="T46" s="30" t="str"/>
      <x:c r="U46" s="30" t="str"/>
      <x:c r="V46" s="30" t="str"/>
      <x:c r="W46" s="30" t="str"/>
    </x:row>
    <x:row r="47">
      <x:c r="A47" s="30" t="str">
        <x:v>JUDGE-TEMPLATE-046</x:v>
      </x:c>
      <x:c r="B47" s="30" t="str"/>
      <x:c r="C47" s="30" t="str"/>
      <x:c r="D47" s="30" t="str"/>
      <x:c r="E47" s="30" t="str"/>
      <x:c r="F47" s="30" t="str"/>
      <x:c r="G47" s="30" t="str"/>
      <x:c r="H47" s="30" t="str">
        <x:v>10</x:v>
      </x:c>
      <x:c r="I47" s="32" t="str">
        <x:f>IF(OR(G47="",H47=""),"",G47/H47)</x:f>
      </x:c>
      <x:c r="J47" s="30" t="str"/>
      <x:c r="K47" s="30" t="str"/>
      <x:c r="L47" s="30" t="str"/>
      <x:c r="M47" s="30" t="str"/>
      <x:c r="N47" s="30" t="str"/>
      <x:c r="O47" s="30" t="str"/>
      <x:c r="P47" s="30" t="str"/>
      <x:c r="Q47" s="30" t="str"/>
      <x:c r="R47" s="30" t="str"/>
      <x:c r="S47" s="30" t="str"/>
      <x:c r="T47" s="30" t="str"/>
      <x:c r="U47" s="30" t="str"/>
      <x:c r="V47" s="30" t="str"/>
      <x:c r="W47" s="30" t="str"/>
    </x:row>
    <x:row r="48">
      <x:c r="A48" s="30" t="str">
        <x:v>JUDGE-TEMPLATE-047</x:v>
      </x:c>
      <x:c r="B48" s="30" t="str"/>
      <x:c r="C48" s="30" t="str"/>
      <x:c r="D48" s="30" t="str"/>
      <x:c r="E48" s="30" t="str"/>
      <x:c r="F48" s="30" t="str"/>
      <x:c r="G48" s="30" t="str"/>
      <x:c r="H48" s="30" t="str">
        <x:v>10</x:v>
      </x:c>
      <x:c r="I48" s="32" t="str">
        <x:f>IF(OR(G48="",H48=""),"",G48/H48)</x:f>
      </x:c>
      <x:c r="J48" s="30" t="str"/>
      <x:c r="K48" s="30" t="str"/>
      <x:c r="L48" s="30" t="str"/>
      <x:c r="M48" s="30" t="str"/>
      <x:c r="N48" s="30" t="str"/>
      <x:c r="O48" s="30" t="str"/>
      <x:c r="P48" s="30" t="str"/>
      <x:c r="Q48" s="30" t="str"/>
      <x:c r="R48" s="30" t="str"/>
      <x:c r="S48" s="30" t="str"/>
      <x:c r="T48" s="30" t="str"/>
      <x:c r="U48" s="30" t="str"/>
      <x:c r="V48" s="30" t="str"/>
      <x:c r="W48" s="30" t="str"/>
    </x:row>
    <x:row r="49">
      <x:c r="A49" s="30" t="str">
        <x:v>JUDGE-TEMPLATE-048</x:v>
      </x:c>
      <x:c r="B49" s="30" t="str"/>
      <x:c r="C49" s="30" t="str"/>
      <x:c r="D49" s="30" t="str"/>
      <x:c r="E49" s="30" t="str"/>
      <x:c r="F49" s="30" t="str"/>
      <x:c r="G49" s="30" t="str"/>
      <x:c r="H49" s="30" t="str">
        <x:v>10</x:v>
      </x:c>
      <x:c r="I49" s="32" t="str">
        <x:f>IF(OR(G49="",H49=""),"",G49/H49)</x:f>
      </x:c>
      <x:c r="J49" s="30" t="str"/>
      <x:c r="K49" s="30" t="str"/>
      <x:c r="L49" s="30" t="str"/>
      <x:c r="M49" s="30" t="str"/>
      <x:c r="N49" s="30" t="str"/>
      <x:c r="O49" s="30" t="str"/>
      <x:c r="P49" s="30" t="str"/>
      <x:c r="Q49" s="30" t="str"/>
      <x:c r="R49" s="30" t="str"/>
      <x:c r="S49" s="30" t="str"/>
      <x:c r="T49" s="30" t="str"/>
      <x:c r="U49" s="30" t="str"/>
      <x:c r="V49" s="30" t="str"/>
      <x:c r="W49" s="30" t="str"/>
    </x:row>
    <x:row r="50">
      <x:c r="A50" s="30" t="str">
        <x:v>JUDGE-TEMPLATE-049</x:v>
      </x:c>
      <x:c r="B50" s="30" t="str"/>
      <x:c r="C50" s="30" t="str"/>
      <x:c r="D50" s="30" t="str"/>
      <x:c r="E50" s="30" t="str"/>
      <x:c r="F50" s="30" t="str"/>
      <x:c r="G50" s="30" t="str"/>
      <x:c r="H50" s="30" t="str">
        <x:v>10</x:v>
      </x:c>
      <x:c r="I50" s="32" t="str">
        <x:f>IF(OR(G50="",H50=""),"",G50/H50)</x:f>
      </x:c>
      <x:c r="J50" s="30" t="str"/>
      <x:c r="K50" s="30" t="str"/>
      <x:c r="L50" s="30" t="str"/>
      <x:c r="M50" s="30" t="str"/>
      <x:c r="N50" s="30" t="str"/>
      <x:c r="O50" s="30" t="str"/>
      <x:c r="P50" s="30" t="str"/>
      <x:c r="Q50" s="30" t="str"/>
      <x:c r="R50" s="30" t="str"/>
      <x:c r="S50" s="30" t="str"/>
      <x:c r="T50" s="30" t="str"/>
      <x:c r="U50" s="30" t="str"/>
      <x:c r="V50" s="30" t="str"/>
      <x:c r="W50" s="30" t="str"/>
    </x:row>
    <x:row r="51">
      <x:c r="A51" s="30" t="str">
        <x:v>JUDGE-TEMPLATE-050</x:v>
      </x:c>
      <x:c r="B51" s="30" t="str"/>
      <x:c r="C51" s="30" t="str"/>
      <x:c r="D51" s="30" t="str"/>
      <x:c r="E51" s="30" t="str"/>
      <x:c r="F51" s="30" t="str"/>
      <x:c r="G51" s="30" t="str"/>
      <x:c r="H51" s="30" t="str">
        <x:v>10</x:v>
      </x:c>
      <x:c r="I51" s="32" t="str">
        <x:f>IF(OR(G51="",H51=""),"",G51/H51)</x:f>
      </x:c>
      <x:c r="J51" s="30" t="str"/>
      <x:c r="K51" s="30" t="str"/>
      <x:c r="L51" s="30" t="str"/>
      <x:c r="M51" s="30" t="str"/>
      <x:c r="N51" s="30" t="str"/>
      <x:c r="O51" s="30" t="str"/>
      <x:c r="P51" s="30" t="str"/>
      <x:c r="Q51" s="30" t="str"/>
      <x:c r="R51" s="30" t="str"/>
      <x:c r="S51" s="30" t="str"/>
      <x:c r="T51" s="30" t="str"/>
      <x:c r="U51" s="30" t="str"/>
      <x:c r="V51" s="30" t="str"/>
      <x:c r="W51" s="30" t="str"/>
    </x:row>
    <x:row r="52">
      <x:c r="A52" s="30" t="str">
        <x:v>JUDGE-TEMPLATE-051</x:v>
      </x:c>
      <x:c r="B52" s="30" t="str"/>
      <x:c r="C52" s="30" t="str"/>
      <x:c r="D52" s="30" t="str"/>
      <x:c r="E52" s="30" t="str"/>
      <x:c r="F52" s="30" t="str"/>
      <x:c r="G52" s="30" t="str"/>
      <x:c r="H52" s="30" t="str">
        <x:v>10</x:v>
      </x:c>
      <x:c r="I52" s="32" t="str">
        <x:f>IF(OR(G52="",H52=""),"",G52/H52)</x:f>
      </x:c>
      <x:c r="J52" s="30" t="str"/>
      <x:c r="K52" s="30" t="str"/>
      <x:c r="L52" s="30" t="str"/>
      <x:c r="M52" s="30" t="str"/>
      <x:c r="N52" s="30" t="str"/>
      <x:c r="O52" s="30" t="str"/>
      <x:c r="P52" s="30" t="str"/>
      <x:c r="Q52" s="30" t="str"/>
      <x:c r="R52" s="30" t="str"/>
      <x:c r="S52" s="30" t="str"/>
      <x:c r="T52" s="30" t="str"/>
      <x:c r="U52" s="30" t="str"/>
      <x:c r="V52" s="30" t="str"/>
      <x:c r="W52" s="30" t="str"/>
    </x:row>
    <x:row r="53">
      <x:c r="A53" s="30" t="str">
        <x:v>JUDGE-TEMPLATE-052</x:v>
      </x:c>
      <x:c r="B53" s="30" t="str"/>
      <x:c r="C53" s="30" t="str"/>
      <x:c r="D53" s="30" t="str"/>
      <x:c r="E53" s="30" t="str"/>
      <x:c r="F53" s="30" t="str"/>
      <x:c r="G53" s="30" t="str"/>
      <x:c r="H53" s="30" t="str">
        <x:v>10</x:v>
      </x:c>
      <x:c r="I53" s="32" t="str">
        <x:f>IF(OR(G53="",H53=""),"",G53/H53)</x:f>
      </x:c>
      <x:c r="J53" s="30" t="str"/>
      <x:c r="K53" s="30" t="str"/>
      <x:c r="L53" s="30" t="str"/>
      <x:c r="M53" s="30" t="str"/>
      <x:c r="N53" s="30" t="str"/>
      <x:c r="O53" s="30" t="str"/>
      <x:c r="P53" s="30" t="str"/>
      <x:c r="Q53" s="30" t="str"/>
      <x:c r="R53" s="30" t="str"/>
      <x:c r="S53" s="30" t="str"/>
      <x:c r="T53" s="30" t="str"/>
      <x:c r="U53" s="30" t="str"/>
      <x:c r="V53" s="30" t="str"/>
      <x:c r="W53" s="30" t="str"/>
    </x:row>
    <x:row r="54">
      <x:c r="A54" s="30" t="str">
        <x:v>JUDGE-TEMPLATE-053</x:v>
      </x:c>
      <x:c r="B54" s="30" t="str"/>
      <x:c r="C54" s="30" t="str"/>
      <x:c r="D54" s="30" t="str"/>
      <x:c r="E54" s="30" t="str"/>
      <x:c r="F54" s="30" t="str"/>
      <x:c r="G54" s="30" t="str"/>
      <x:c r="H54" s="30" t="str">
        <x:v>10</x:v>
      </x:c>
      <x:c r="I54" s="32" t="str">
        <x:f>IF(OR(G54="",H54=""),"",G54/H54)</x:f>
      </x:c>
      <x:c r="J54" s="30" t="str"/>
      <x:c r="K54" s="30" t="str"/>
      <x:c r="L54" s="30" t="str"/>
      <x:c r="M54" s="30" t="str"/>
      <x:c r="N54" s="30" t="str"/>
      <x:c r="O54" s="30" t="str"/>
      <x:c r="P54" s="30" t="str"/>
      <x:c r="Q54" s="30" t="str"/>
      <x:c r="R54" s="30" t="str"/>
      <x:c r="S54" s="30" t="str"/>
      <x:c r="T54" s="30" t="str"/>
      <x:c r="U54" s="30" t="str"/>
      <x:c r="V54" s="30" t="str"/>
      <x:c r="W54" s="30" t="str"/>
    </x:row>
    <x:row r="55">
      <x:c r="A55" s="30" t="str">
        <x:v>JUDGE-TEMPLATE-054</x:v>
      </x:c>
      <x:c r="B55" s="30" t="str"/>
      <x:c r="C55" s="30" t="str"/>
      <x:c r="D55" s="30" t="str"/>
      <x:c r="E55" s="30" t="str"/>
      <x:c r="F55" s="30" t="str"/>
      <x:c r="G55" s="30" t="str"/>
      <x:c r="H55" s="30" t="str">
        <x:v>10</x:v>
      </x:c>
      <x:c r="I55" s="32" t="str">
        <x:f>IF(OR(G55="",H55=""),"",G55/H55)</x:f>
      </x:c>
      <x:c r="J55" s="30" t="str"/>
      <x:c r="K55" s="30" t="str"/>
      <x:c r="L55" s="30" t="str"/>
      <x:c r="M55" s="30" t="str"/>
      <x:c r="N55" s="30" t="str"/>
      <x:c r="O55" s="30" t="str"/>
      <x:c r="P55" s="30" t="str"/>
      <x:c r="Q55" s="30" t="str"/>
      <x:c r="R55" s="30" t="str"/>
      <x:c r="S55" s="30" t="str"/>
      <x:c r="T55" s="30" t="str"/>
      <x:c r="U55" s="30" t="str"/>
      <x:c r="V55" s="30" t="str"/>
      <x:c r="W55" s="30" t="str"/>
    </x:row>
    <x:row r="56">
      <x:c r="A56" s="30" t="str">
        <x:v>JUDGE-TEMPLATE-055</x:v>
      </x:c>
      <x:c r="B56" s="30" t="str"/>
      <x:c r="C56" s="30" t="str"/>
      <x:c r="D56" s="30" t="str"/>
      <x:c r="E56" s="30" t="str"/>
      <x:c r="F56" s="30" t="str"/>
      <x:c r="G56" s="30" t="str"/>
      <x:c r="H56" s="30" t="str">
        <x:v>10</x:v>
      </x:c>
      <x:c r="I56" s="32" t="str">
        <x:f>IF(OR(G56="",H56=""),"",G56/H56)</x:f>
      </x:c>
      <x:c r="J56" s="30" t="str"/>
      <x:c r="K56" s="30" t="str"/>
      <x:c r="L56" s="30" t="str"/>
      <x:c r="M56" s="30" t="str"/>
      <x:c r="N56" s="30" t="str"/>
      <x:c r="O56" s="30" t="str"/>
      <x:c r="P56" s="30" t="str"/>
      <x:c r="Q56" s="30" t="str"/>
      <x:c r="R56" s="30" t="str"/>
      <x:c r="S56" s="30" t="str"/>
      <x:c r="T56" s="30" t="str"/>
      <x:c r="U56" s="30" t="str"/>
      <x:c r="V56" s="30" t="str"/>
      <x:c r="W56" s="30" t="str"/>
    </x:row>
    <x:row r="57">
      <x:c r="A57" s="30" t="str">
        <x:v>JUDGE-TEMPLATE-056</x:v>
      </x:c>
      <x:c r="B57" s="30" t="str"/>
      <x:c r="C57" s="30" t="str"/>
      <x:c r="D57" s="30" t="str"/>
      <x:c r="E57" s="30" t="str"/>
      <x:c r="F57" s="30" t="str"/>
      <x:c r="G57" s="30" t="str"/>
      <x:c r="H57" s="30" t="str">
        <x:v>10</x:v>
      </x:c>
      <x:c r="I57" s="32" t="str">
        <x:f>IF(OR(G57="",H57=""),"",G57/H57)</x:f>
      </x:c>
      <x:c r="J57" s="30" t="str"/>
      <x:c r="K57" s="30" t="str"/>
      <x:c r="L57" s="30" t="str"/>
      <x:c r="M57" s="30" t="str"/>
      <x:c r="N57" s="30" t="str"/>
      <x:c r="O57" s="30" t="str"/>
      <x:c r="P57" s="30" t="str"/>
      <x:c r="Q57" s="30" t="str"/>
      <x:c r="R57" s="30" t="str"/>
      <x:c r="S57" s="30" t="str"/>
      <x:c r="T57" s="30" t="str"/>
      <x:c r="U57" s="30" t="str"/>
      <x:c r="V57" s="30" t="str"/>
      <x:c r="W57" s="30" t="str"/>
    </x:row>
    <x:row r="58">
      <x:c r="A58" s="30" t="str">
        <x:v>JUDGE-TEMPLATE-057</x:v>
      </x:c>
      <x:c r="B58" s="30" t="str"/>
      <x:c r="C58" s="30" t="str"/>
      <x:c r="D58" s="30" t="str"/>
      <x:c r="E58" s="30" t="str"/>
      <x:c r="F58" s="30" t="str"/>
      <x:c r="G58" s="30" t="str"/>
      <x:c r="H58" s="30" t="str">
        <x:v>10</x:v>
      </x:c>
      <x:c r="I58" s="32" t="str">
        <x:f>IF(OR(G58="",H58=""),"",G58/H58)</x:f>
      </x:c>
      <x:c r="J58" s="30" t="str"/>
      <x:c r="K58" s="30" t="str"/>
      <x:c r="L58" s="30" t="str"/>
      <x:c r="M58" s="30" t="str"/>
      <x:c r="N58" s="30" t="str"/>
      <x:c r="O58" s="30" t="str"/>
      <x:c r="P58" s="30" t="str"/>
      <x:c r="Q58" s="30" t="str"/>
      <x:c r="R58" s="30" t="str"/>
      <x:c r="S58" s="30" t="str"/>
      <x:c r="T58" s="30" t="str"/>
      <x:c r="U58" s="30" t="str"/>
      <x:c r="V58" s="30" t="str"/>
      <x:c r="W58" s="30" t="str"/>
    </x:row>
    <x:row r="59">
      <x:c r="A59" s="30" t="str">
        <x:v>JUDGE-TEMPLATE-058</x:v>
      </x:c>
      <x:c r="B59" s="30" t="str"/>
      <x:c r="C59" s="30" t="str"/>
      <x:c r="D59" s="30" t="str"/>
      <x:c r="E59" s="30" t="str"/>
      <x:c r="F59" s="30" t="str"/>
      <x:c r="G59" s="30" t="str"/>
      <x:c r="H59" s="30" t="str">
        <x:v>10</x:v>
      </x:c>
      <x:c r="I59" s="32" t="str">
        <x:f>IF(OR(G59="",H59=""),"",G59/H59)</x:f>
      </x:c>
      <x:c r="J59" s="30" t="str"/>
      <x:c r="K59" s="30" t="str"/>
      <x:c r="L59" s="30" t="str"/>
      <x:c r="M59" s="30" t="str"/>
      <x:c r="N59" s="30" t="str"/>
      <x:c r="O59" s="30" t="str"/>
      <x:c r="P59" s="30" t="str"/>
      <x:c r="Q59" s="30" t="str"/>
      <x:c r="R59" s="30" t="str"/>
      <x:c r="S59" s="30" t="str"/>
      <x:c r="T59" s="30" t="str"/>
      <x:c r="U59" s="30" t="str"/>
      <x:c r="V59" s="30" t="str"/>
      <x:c r="W59" s="30" t="str"/>
    </x:row>
    <x:row r="60">
      <x:c r="A60" s="30" t="str">
        <x:v>JUDGE-TEMPLATE-059</x:v>
      </x:c>
      <x:c r="B60" s="30" t="str"/>
      <x:c r="C60" s="30" t="str"/>
      <x:c r="D60" s="30" t="str"/>
      <x:c r="E60" s="30" t="str"/>
      <x:c r="F60" s="30" t="str"/>
      <x:c r="G60" s="30" t="str"/>
      <x:c r="H60" s="30" t="str">
        <x:v>10</x:v>
      </x:c>
      <x:c r="I60" s="32" t="str">
        <x:f>IF(OR(G60="",H60=""),"",G60/H60)</x:f>
      </x:c>
      <x:c r="J60" s="30" t="str"/>
      <x:c r="K60" s="30" t="str"/>
      <x:c r="L60" s="30" t="str"/>
      <x:c r="M60" s="30" t="str"/>
      <x:c r="N60" s="30" t="str"/>
      <x:c r="O60" s="30" t="str"/>
      <x:c r="P60" s="30" t="str"/>
      <x:c r="Q60" s="30" t="str"/>
      <x:c r="R60" s="30" t="str"/>
      <x:c r="S60" s="30" t="str"/>
      <x:c r="T60" s="30" t="str"/>
      <x:c r="U60" s="30" t="str"/>
      <x:c r="V60" s="30" t="str"/>
      <x:c r="W60" s="30" t="str"/>
    </x:row>
    <x:row r="61">
      <x:c r="A61" s="30" t="str">
        <x:v>JUDGE-TEMPLATE-060</x:v>
      </x:c>
      <x:c r="B61" s="30" t="str"/>
      <x:c r="C61" s="30" t="str"/>
      <x:c r="D61" s="30" t="str"/>
      <x:c r="E61" s="30" t="str"/>
      <x:c r="F61" s="30" t="str"/>
      <x:c r="G61" s="30" t="str"/>
      <x:c r="H61" s="30" t="str">
        <x:v>10</x:v>
      </x:c>
      <x:c r="I61" s="32" t="str">
        <x:f>IF(OR(G61="",H61=""),"",G61/H61)</x:f>
      </x:c>
      <x:c r="J61" s="30" t="str"/>
      <x:c r="K61" s="30" t="str"/>
      <x:c r="L61" s="30" t="str"/>
      <x:c r="M61" s="30" t="str"/>
      <x:c r="N61" s="30" t="str"/>
      <x:c r="O61" s="30" t="str"/>
      <x:c r="P61" s="30" t="str"/>
      <x:c r="Q61" s="30" t="str"/>
      <x:c r="R61" s="30" t="str"/>
      <x:c r="S61" s="30" t="str"/>
      <x:c r="T61" s="30" t="str"/>
      <x:c r="U61" s="30" t="str"/>
      <x:c r="V61" s="30" t="str"/>
      <x:c r="W61" s="30" t="str"/>
    </x:row>
    <x:row r="62">
      <x:c r="A62" s="30" t="str">
        <x:v>JUDGE-TEMPLATE-061</x:v>
      </x:c>
      <x:c r="B62" s="30" t="str"/>
      <x:c r="C62" s="30" t="str"/>
      <x:c r="D62" s="30" t="str"/>
      <x:c r="E62" s="30" t="str"/>
      <x:c r="F62" s="30" t="str"/>
      <x:c r="G62" s="30" t="str"/>
      <x:c r="H62" s="30" t="str">
        <x:v>10</x:v>
      </x:c>
      <x:c r="I62" s="32" t="str">
        <x:f>IF(OR(G62="",H62=""),"",G62/H62)</x:f>
      </x:c>
      <x:c r="J62" s="30" t="str"/>
      <x:c r="K62" s="30" t="str"/>
      <x:c r="L62" s="30" t="str"/>
      <x:c r="M62" s="30" t="str"/>
      <x:c r="N62" s="30" t="str"/>
      <x:c r="O62" s="30" t="str"/>
      <x:c r="P62" s="30" t="str"/>
      <x:c r="Q62" s="30" t="str"/>
      <x:c r="R62" s="30" t="str"/>
      <x:c r="S62" s="30" t="str"/>
      <x:c r="T62" s="30" t="str"/>
      <x:c r="U62" s="30" t="str"/>
      <x:c r="V62" s="30" t="str"/>
      <x:c r="W62" s="30" t="str"/>
    </x:row>
    <x:row r="63">
      <x:c r="A63" s="30" t="str">
        <x:v>JUDGE-TEMPLATE-062</x:v>
      </x:c>
      <x:c r="B63" s="30" t="str"/>
      <x:c r="C63" s="30" t="str"/>
      <x:c r="D63" s="30" t="str"/>
      <x:c r="E63" s="30" t="str"/>
      <x:c r="F63" s="30" t="str"/>
      <x:c r="G63" s="30" t="str"/>
      <x:c r="H63" s="30" t="str">
        <x:v>10</x:v>
      </x:c>
      <x:c r="I63" s="32" t="str">
        <x:f>IF(OR(G63="",H63=""),"",G63/H63)</x:f>
      </x:c>
      <x:c r="J63" s="30" t="str"/>
      <x:c r="K63" s="30" t="str"/>
      <x:c r="L63" s="30" t="str"/>
      <x:c r="M63" s="30" t="str"/>
      <x:c r="N63" s="30" t="str"/>
      <x:c r="O63" s="30" t="str"/>
      <x:c r="P63" s="30" t="str"/>
      <x:c r="Q63" s="30" t="str"/>
      <x:c r="R63" s="30" t="str"/>
      <x:c r="S63" s="30" t="str"/>
      <x:c r="T63" s="30" t="str"/>
      <x:c r="U63" s="30" t="str"/>
      <x:c r="V63" s="30" t="str"/>
      <x:c r="W63" s="30" t="str"/>
    </x:row>
    <x:row r="64">
      <x:c r="A64" s="30" t="str">
        <x:v>JUDGE-TEMPLATE-063</x:v>
      </x:c>
      <x:c r="B64" s="30" t="str"/>
      <x:c r="C64" s="30" t="str"/>
      <x:c r="D64" s="30" t="str"/>
      <x:c r="E64" s="30" t="str"/>
      <x:c r="F64" s="30" t="str"/>
      <x:c r="G64" s="30" t="str"/>
      <x:c r="H64" s="30" t="str">
        <x:v>10</x:v>
      </x:c>
      <x:c r="I64" s="32" t="str">
        <x:f>IF(OR(G64="",H64=""),"",G64/H64)</x:f>
      </x:c>
      <x:c r="J64" s="30" t="str"/>
      <x:c r="K64" s="30" t="str"/>
      <x:c r="L64" s="30" t="str"/>
      <x:c r="M64" s="30" t="str"/>
      <x:c r="N64" s="30" t="str"/>
      <x:c r="O64" s="30" t="str"/>
      <x:c r="P64" s="30" t="str"/>
      <x:c r="Q64" s="30" t="str"/>
      <x:c r="R64" s="30" t="str"/>
      <x:c r="S64" s="30" t="str"/>
      <x:c r="T64" s="30" t="str"/>
      <x:c r="U64" s="30" t="str"/>
      <x:c r="V64" s="30" t="str"/>
      <x:c r="W64" s="30" t="str"/>
    </x:row>
    <x:row r="65">
      <x:c r="A65" s="30" t="str">
        <x:v>JUDGE-TEMPLATE-064</x:v>
      </x:c>
      <x:c r="B65" s="30" t="str"/>
      <x:c r="C65" s="30" t="str"/>
      <x:c r="D65" s="30" t="str"/>
      <x:c r="E65" s="30" t="str"/>
      <x:c r="F65" s="30" t="str"/>
      <x:c r="G65" s="30" t="str"/>
      <x:c r="H65" s="30" t="str">
        <x:v>10</x:v>
      </x:c>
      <x:c r="I65" s="32" t="str">
        <x:f>IF(OR(G65="",H65=""),"",G65/H65)</x:f>
      </x:c>
      <x:c r="J65" s="30" t="str"/>
      <x:c r="K65" s="30" t="str"/>
      <x:c r="L65" s="30" t="str"/>
      <x:c r="M65" s="30" t="str"/>
      <x:c r="N65" s="30" t="str"/>
      <x:c r="O65" s="30" t="str"/>
      <x:c r="P65" s="30" t="str"/>
      <x:c r="Q65" s="30" t="str"/>
      <x:c r="R65" s="30" t="str"/>
      <x:c r="S65" s="30" t="str"/>
      <x:c r="T65" s="30" t="str"/>
      <x:c r="U65" s="30" t="str"/>
      <x:c r="V65" s="30" t="str"/>
      <x:c r="W65" s="30" t="str"/>
    </x:row>
    <x:row r="66">
      <x:c r="A66" s="30" t="str">
        <x:v>JUDGE-TEMPLATE-065</x:v>
      </x:c>
      <x:c r="B66" s="30" t="str"/>
      <x:c r="C66" s="30" t="str"/>
      <x:c r="D66" s="30" t="str"/>
      <x:c r="E66" s="30" t="str"/>
      <x:c r="F66" s="30" t="str"/>
      <x:c r="G66" s="30" t="str"/>
      <x:c r="H66" s="30" t="str">
        <x:v>10</x:v>
      </x:c>
      <x:c r="I66" s="32" t="str">
        <x:f>IF(OR(G66="",H66=""),"",G66/H66)</x:f>
      </x:c>
      <x:c r="J66" s="30" t="str"/>
      <x:c r="K66" s="30" t="str"/>
      <x:c r="L66" s="30" t="str"/>
      <x:c r="M66" s="30" t="str"/>
      <x:c r="N66" s="30" t="str"/>
      <x:c r="O66" s="30" t="str"/>
      <x:c r="P66" s="30" t="str"/>
      <x:c r="Q66" s="30" t="str"/>
      <x:c r="R66" s="30" t="str"/>
      <x:c r="S66" s="30" t="str"/>
      <x:c r="T66" s="30" t="str"/>
      <x:c r="U66" s="30" t="str"/>
      <x:c r="V66" s="30" t="str"/>
      <x:c r="W66" s="30" t="str"/>
    </x:row>
    <x:row r="67">
      <x:c r="A67" s="30" t="str">
        <x:v>JUDGE-TEMPLATE-066</x:v>
      </x:c>
      <x:c r="B67" s="30" t="str"/>
      <x:c r="C67" s="30" t="str"/>
      <x:c r="D67" s="30" t="str"/>
      <x:c r="E67" s="30" t="str"/>
      <x:c r="F67" s="30" t="str"/>
      <x:c r="G67" s="30" t="str"/>
      <x:c r="H67" s="30" t="str">
        <x:v>10</x:v>
      </x:c>
      <x:c r="I67" s="32" t="str">
        <x:f>IF(OR(G67="",H67=""),"",G67/H67)</x:f>
      </x:c>
      <x:c r="J67" s="30" t="str"/>
      <x:c r="K67" s="30" t="str"/>
      <x:c r="L67" s="30" t="str"/>
      <x:c r="M67" s="30" t="str"/>
      <x:c r="N67" s="30" t="str"/>
      <x:c r="O67" s="30" t="str"/>
      <x:c r="P67" s="30" t="str"/>
      <x:c r="Q67" s="30" t="str"/>
      <x:c r="R67" s="30" t="str"/>
      <x:c r="S67" s="30" t="str"/>
      <x:c r="T67" s="30" t="str"/>
      <x:c r="U67" s="30" t="str"/>
      <x:c r="V67" s="30" t="str"/>
      <x:c r="W67" s="30" t="str"/>
    </x:row>
    <x:row r="68">
      <x:c r="A68" s="30" t="str">
        <x:v>JUDGE-TEMPLATE-067</x:v>
      </x:c>
      <x:c r="B68" s="30" t="str"/>
      <x:c r="C68" s="30" t="str"/>
      <x:c r="D68" s="30" t="str"/>
      <x:c r="E68" s="30" t="str"/>
      <x:c r="F68" s="30" t="str"/>
      <x:c r="G68" s="30" t="str"/>
      <x:c r="H68" s="30" t="str">
        <x:v>10</x:v>
      </x:c>
      <x:c r="I68" s="32" t="str">
        <x:f>IF(OR(G68="",H68=""),"",G68/H68)</x:f>
      </x:c>
      <x:c r="J68" s="30" t="str"/>
      <x:c r="K68" s="30" t="str"/>
      <x:c r="L68" s="30" t="str"/>
      <x:c r="M68" s="30" t="str"/>
      <x:c r="N68" s="30" t="str"/>
      <x:c r="O68" s="30" t="str"/>
      <x:c r="P68" s="30" t="str"/>
      <x:c r="Q68" s="30" t="str"/>
      <x:c r="R68" s="30" t="str"/>
      <x:c r="S68" s="30" t="str"/>
      <x:c r="T68" s="30" t="str"/>
      <x:c r="U68" s="30" t="str"/>
      <x:c r="V68" s="30" t="str"/>
      <x:c r="W68" s="30" t="str"/>
    </x:row>
    <x:row r="69">
      <x:c r="A69" s="30" t="str">
        <x:v>JUDGE-TEMPLATE-068</x:v>
      </x:c>
      <x:c r="B69" s="30" t="str"/>
      <x:c r="C69" s="30" t="str"/>
      <x:c r="D69" s="30" t="str"/>
      <x:c r="E69" s="30" t="str"/>
      <x:c r="F69" s="30" t="str"/>
      <x:c r="G69" s="30" t="str"/>
      <x:c r="H69" s="30" t="str">
        <x:v>10</x:v>
      </x:c>
      <x:c r="I69" s="32" t="str">
        <x:f>IF(OR(G69="",H69=""),"",G69/H69)</x:f>
      </x:c>
      <x:c r="J69" s="30" t="str"/>
      <x:c r="K69" s="30" t="str"/>
      <x:c r="L69" s="30" t="str"/>
      <x:c r="M69" s="30" t="str"/>
      <x:c r="N69" s="30" t="str"/>
      <x:c r="O69" s="30" t="str"/>
      <x:c r="P69" s="30" t="str"/>
      <x:c r="Q69" s="30" t="str"/>
      <x:c r="R69" s="30" t="str"/>
      <x:c r="S69" s="30" t="str"/>
      <x:c r="T69" s="30" t="str"/>
      <x:c r="U69" s="30" t="str"/>
      <x:c r="V69" s="30" t="str"/>
      <x:c r="W69" s="30" t="str"/>
    </x:row>
    <x:row r="70">
      <x:c r="A70" s="30" t="str">
        <x:v>JUDGE-TEMPLATE-069</x:v>
      </x:c>
      <x:c r="B70" s="30" t="str"/>
      <x:c r="C70" s="30" t="str"/>
      <x:c r="D70" s="30" t="str"/>
      <x:c r="E70" s="30" t="str"/>
      <x:c r="F70" s="30" t="str"/>
      <x:c r="G70" s="30" t="str"/>
      <x:c r="H70" s="30" t="str">
        <x:v>10</x:v>
      </x:c>
      <x:c r="I70" s="32" t="str">
        <x:f>IF(OR(G70="",H70=""),"",G70/H70)</x:f>
      </x:c>
      <x:c r="J70" s="30" t="str"/>
      <x:c r="K70" s="30" t="str"/>
      <x:c r="L70" s="30" t="str"/>
      <x:c r="M70" s="30" t="str"/>
      <x:c r="N70" s="30" t="str"/>
      <x:c r="O70" s="30" t="str"/>
      <x:c r="P70" s="30" t="str"/>
      <x:c r="Q70" s="30" t="str"/>
      <x:c r="R70" s="30" t="str"/>
      <x:c r="S70" s="30" t="str"/>
      <x:c r="T70" s="30" t="str"/>
      <x:c r="U70" s="30" t="str"/>
      <x:c r="V70" s="30" t="str"/>
      <x:c r="W70" s="30" t="str"/>
    </x:row>
    <x:row r="71">
      <x:c r="A71" s="30" t="str">
        <x:v>JUDGE-TEMPLATE-070</x:v>
      </x:c>
      <x:c r="B71" s="30" t="str"/>
      <x:c r="C71" s="30" t="str"/>
      <x:c r="D71" s="30" t="str"/>
      <x:c r="E71" s="30" t="str"/>
      <x:c r="F71" s="30" t="str"/>
      <x:c r="G71" s="30" t="str"/>
      <x:c r="H71" s="30" t="str">
        <x:v>10</x:v>
      </x:c>
      <x:c r="I71" s="32" t="str">
        <x:f>IF(OR(G71="",H71=""),"",G71/H71)</x:f>
      </x:c>
      <x:c r="J71" s="30" t="str"/>
      <x:c r="K71" s="30" t="str"/>
      <x:c r="L71" s="30" t="str"/>
      <x:c r="M71" s="30" t="str"/>
      <x:c r="N71" s="30" t="str"/>
      <x:c r="O71" s="30" t="str"/>
      <x:c r="P71" s="30" t="str"/>
      <x:c r="Q71" s="30" t="str"/>
      <x:c r="R71" s="30" t="str"/>
      <x:c r="S71" s="30" t="str"/>
      <x:c r="T71" s="30" t="str"/>
      <x:c r="U71" s="30" t="str"/>
      <x:c r="V71" s="30" t="str"/>
      <x:c r="W71" s="30" t="str"/>
    </x:row>
    <x:row r="72">
      <x:c r="A72" s="30" t="str">
        <x:v>JUDGE-TEMPLATE-071</x:v>
      </x:c>
      <x:c r="B72" s="30" t="str"/>
      <x:c r="C72" s="30" t="str"/>
      <x:c r="D72" s="30" t="str"/>
      <x:c r="E72" s="30" t="str"/>
      <x:c r="F72" s="30" t="str"/>
      <x:c r="G72" s="30" t="str"/>
      <x:c r="H72" s="30" t="str">
        <x:v>10</x:v>
      </x:c>
      <x:c r="I72" s="32" t="str">
        <x:f>IF(OR(G72="",H72=""),"",G72/H72)</x:f>
      </x:c>
      <x:c r="J72" s="30" t="str"/>
      <x:c r="K72" s="30" t="str"/>
      <x:c r="L72" s="30" t="str"/>
      <x:c r="M72" s="30" t="str"/>
      <x:c r="N72" s="30" t="str"/>
      <x:c r="O72" s="30" t="str"/>
      <x:c r="P72" s="30" t="str"/>
      <x:c r="Q72" s="30" t="str"/>
      <x:c r="R72" s="30" t="str"/>
      <x:c r="S72" s="30" t="str"/>
      <x:c r="T72" s="30" t="str"/>
      <x:c r="U72" s="30" t="str"/>
      <x:c r="V72" s="30" t="str"/>
      <x:c r="W72" s="30" t="str"/>
    </x:row>
    <x:row r="73">
      <x:c r="A73" s="30" t="str">
        <x:v>JUDGE-TEMPLATE-072</x:v>
      </x:c>
      <x:c r="B73" s="30" t="str"/>
      <x:c r="C73" s="30" t="str"/>
      <x:c r="D73" s="30" t="str"/>
      <x:c r="E73" s="30" t="str"/>
      <x:c r="F73" s="30" t="str"/>
      <x:c r="G73" s="30" t="str"/>
      <x:c r="H73" s="30" t="str">
        <x:v>10</x:v>
      </x:c>
      <x:c r="I73" s="32" t="str">
        <x:f>IF(OR(G73="",H73=""),"",G73/H73)</x:f>
      </x:c>
      <x:c r="J73" s="30" t="str"/>
      <x:c r="K73" s="30" t="str"/>
      <x:c r="L73" s="30" t="str"/>
      <x:c r="M73" s="30" t="str"/>
      <x:c r="N73" s="30" t="str"/>
      <x:c r="O73" s="30" t="str"/>
      <x:c r="P73" s="30" t="str"/>
      <x:c r="Q73" s="30" t="str"/>
      <x:c r="R73" s="30" t="str"/>
      <x:c r="S73" s="30" t="str"/>
      <x:c r="T73" s="30" t="str"/>
      <x:c r="U73" s="30" t="str"/>
      <x:c r="V73" s="30" t="str"/>
      <x:c r="W73" s="30" t="str"/>
    </x:row>
    <x:row r="74">
      <x:c r="A74" s="30" t="str">
        <x:v>JUDGE-TEMPLATE-073</x:v>
      </x:c>
      <x:c r="B74" s="30" t="str"/>
      <x:c r="C74" s="30" t="str"/>
      <x:c r="D74" s="30" t="str"/>
      <x:c r="E74" s="30" t="str"/>
      <x:c r="F74" s="30" t="str"/>
      <x:c r="G74" s="30" t="str"/>
      <x:c r="H74" s="30" t="str">
        <x:v>10</x:v>
      </x:c>
      <x:c r="I74" s="32" t="str">
        <x:f>IF(OR(G74="",H74=""),"",G74/H74)</x:f>
      </x:c>
      <x:c r="J74" s="30" t="str"/>
      <x:c r="K74" s="30" t="str"/>
      <x:c r="L74" s="30" t="str"/>
      <x:c r="M74" s="30" t="str"/>
      <x:c r="N74" s="30" t="str"/>
      <x:c r="O74" s="30" t="str"/>
      <x:c r="P74" s="30" t="str"/>
      <x:c r="Q74" s="30" t="str"/>
      <x:c r="R74" s="30" t="str"/>
      <x:c r="S74" s="30" t="str"/>
      <x:c r="T74" s="30" t="str"/>
      <x:c r="U74" s="30" t="str"/>
      <x:c r="V74" s="30" t="str"/>
      <x:c r="W74" s="30" t="str"/>
    </x:row>
    <x:row r="75">
      <x:c r="A75" s="30" t="str">
        <x:v>JUDGE-TEMPLATE-074</x:v>
      </x:c>
      <x:c r="B75" s="30" t="str"/>
      <x:c r="C75" s="30" t="str"/>
      <x:c r="D75" s="30" t="str"/>
      <x:c r="E75" s="30" t="str"/>
      <x:c r="F75" s="30" t="str"/>
      <x:c r="G75" s="30" t="str"/>
      <x:c r="H75" s="30" t="str">
        <x:v>10</x:v>
      </x:c>
      <x:c r="I75" s="32" t="str">
        <x:f>IF(OR(G75="",H75=""),"",G75/H75)</x:f>
      </x:c>
      <x:c r="J75" s="30" t="str"/>
      <x:c r="K75" s="30" t="str"/>
      <x:c r="L75" s="30" t="str"/>
      <x:c r="M75" s="30" t="str"/>
      <x:c r="N75" s="30" t="str"/>
      <x:c r="O75" s="30" t="str"/>
      <x:c r="P75" s="30" t="str"/>
      <x:c r="Q75" s="30" t="str"/>
      <x:c r="R75" s="30" t="str"/>
      <x:c r="S75" s="30" t="str"/>
      <x:c r="T75" s="30" t="str"/>
      <x:c r="U75" s="30" t="str"/>
      <x:c r="V75" s="30" t="str"/>
      <x:c r="W75" s="30" t="str"/>
    </x:row>
    <x:row r="76">
      <x:c r="A76" s="30" t="str">
        <x:v>JUDGE-TEMPLATE-075</x:v>
      </x:c>
      <x:c r="B76" s="30" t="str"/>
      <x:c r="C76" s="30" t="str"/>
      <x:c r="D76" s="30" t="str"/>
      <x:c r="E76" s="30" t="str"/>
      <x:c r="F76" s="30" t="str"/>
      <x:c r="G76" s="30" t="str"/>
      <x:c r="H76" s="30" t="str">
        <x:v>10</x:v>
      </x:c>
      <x:c r="I76" s="32" t="str">
        <x:f>IF(OR(G76="",H76=""),"",G76/H76)</x:f>
      </x:c>
      <x:c r="J76" s="30" t="str"/>
      <x:c r="K76" s="30" t="str"/>
      <x:c r="L76" s="30" t="str"/>
      <x:c r="M76" s="30" t="str"/>
      <x:c r="N76" s="30" t="str"/>
      <x:c r="O76" s="30" t="str"/>
      <x:c r="P76" s="30" t="str"/>
      <x:c r="Q76" s="30" t="str"/>
      <x:c r="R76" s="30" t="str"/>
      <x:c r="S76" s="30" t="str"/>
      <x:c r="T76" s="30" t="str"/>
      <x:c r="U76" s="30" t="str"/>
      <x:c r="V76" s="30" t="str"/>
      <x:c r="W76" s="30" t="str"/>
    </x:row>
    <x:row r="77">
      <x:c r="A77" s="30" t="str">
        <x:v>JUDGE-TEMPLATE-076</x:v>
      </x:c>
      <x:c r="B77" s="30" t="str"/>
      <x:c r="C77" s="30" t="str"/>
      <x:c r="D77" s="30" t="str"/>
      <x:c r="E77" s="30" t="str"/>
      <x:c r="F77" s="30" t="str"/>
      <x:c r="G77" s="30" t="str"/>
      <x:c r="H77" s="30" t="str">
        <x:v>10</x:v>
      </x:c>
      <x:c r="I77" s="32" t="str">
        <x:f>IF(OR(G77="",H77=""),"",G77/H77)</x:f>
      </x:c>
      <x:c r="J77" s="30" t="str"/>
      <x:c r="K77" s="30" t="str"/>
      <x:c r="L77" s="30" t="str"/>
      <x:c r="M77" s="30" t="str"/>
      <x:c r="N77" s="30" t="str"/>
      <x:c r="O77" s="30" t="str"/>
      <x:c r="P77" s="30" t="str"/>
      <x:c r="Q77" s="30" t="str"/>
      <x:c r="R77" s="30" t="str"/>
      <x:c r="S77" s="30" t="str"/>
      <x:c r="T77" s="30" t="str"/>
      <x:c r="U77" s="30" t="str"/>
      <x:c r="V77" s="30" t="str"/>
      <x:c r="W77" s="30" t="str"/>
    </x:row>
    <x:row r="78">
      <x:c r="A78" s="30" t="str">
        <x:v>JUDGE-TEMPLATE-077</x:v>
      </x:c>
      <x:c r="B78" s="30" t="str"/>
      <x:c r="C78" s="30" t="str"/>
      <x:c r="D78" s="30" t="str"/>
      <x:c r="E78" s="30" t="str"/>
      <x:c r="F78" s="30" t="str"/>
      <x:c r="G78" s="30" t="str"/>
      <x:c r="H78" s="30" t="str">
        <x:v>10</x:v>
      </x:c>
      <x:c r="I78" s="32" t="str">
        <x:f>IF(OR(G78="",H78=""),"",G78/H78)</x:f>
      </x:c>
      <x:c r="J78" s="30" t="str"/>
      <x:c r="K78" s="30" t="str"/>
      <x:c r="L78" s="30" t="str"/>
      <x:c r="M78" s="30" t="str"/>
      <x:c r="N78" s="30" t="str"/>
      <x:c r="O78" s="30" t="str"/>
      <x:c r="P78" s="30" t="str"/>
      <x:c r="Q78" s="30" t="str"/>
      <x:c r="R78" s="30" t="str"/>
      <x:c r="S78" s="30" t="str"/>
      <x:c r="T78" s="30" t="str"/>
      <x:c r="U78" s="30" t="str"/>
      <x:c r="V78" s="30" t="str"/>
      <x:c r="W78" s="30" t="str"/>
    </x:row>
    <x:row r="79">
      <x:c r="A79" s="30" t="str">
        <x:v>JUDGE-TEMPLATE-078</x:v>
      </x:c>
      <x:c r="B79" s="30" t="str"/>
      <x:c r="C79" s="30" t="str"/>
      <x:c r="D79" s="30" t="str"/>
      <x:c r="E79" s="30" t="str"/>
      <x:c r="F79" s="30" t="str"/>
      <x:c r="G79" s="30" t="str"/>
      <x:c r="H79" s="30" t="str">
        <x:v>10</x:v>
      </x:c>
      <x:c r="I79" s="32" t="str">
        <x:f>IF(OR(G79="",H79=""),"",G79/H79)</x:f>
      </x:c>
      <x:c r="J79" s="30" t="str"/>
      <x:c r="K79" s="30" t="str"/>
      <x:c r="L79" s="30" t="str"/>
      <x:c r="M79" s="30" t="str"/>
      <x:c r="N79" s="30" t="str"/>
      <x:c r="O79" s="30" t="str"/>
      <x:c r="P79" s="30" t="str"/>
      <x:c r="Q79" s="30" t="str"/>
      <x:c r="R79" s="30" t="str"/>
      <x:c r="S79" s="30" t="str"/>
      <x:c r="T79" s="30" t="str"/>
      <x:c r="U79" s="30" t="str"/>
      <x:c r="V79" s="30" t="str"/>
      <x:c r="W79" s="30" t="str"/>
    </x:row>
    <x:row r="80">
      <x:c r="A80" s="30" t="str">
        <x:v>JUDGE-TEMPLATE-079</x:v>
      </x:c>
      <x:c r="B80" s="30" t="str"/>
      <x:c r="C80" s="30" t="str"/>
      <x:c r="D80" s="30" t="str"/>
      <x:c r="E80" s="30" t="str"/>
      <x:c r="F80" s="30" t="str"/>
      <x:c r="G80" s="30" t="str"/>
      <x:c r="H80" s="30" t="str">
        <x:v>10</x:v>
      </x:c>
      <x:c r="I80" s="32" t="str">
        <x:f>IF(OR(G80="",H80=""),"",G80/H80)</x:f>
      </x:c>
      <x:c r="J80" s="30" t="str"/>
      <x:c r="K80" s="30" t="str"/>
      <x:c r="L80" s="30" t="str"/>
      <x:c r="M80" s="30" t="str"/>
      <x:c r="N80" s="30" t="str"/>
      <x:c r="O80" s="30" t="str"/>
      <x:c r="P80" s="30" t="str"/>
      <x:c r="Q80" s="30" t="str"/>
      <x:c r="R80" s="30" t="str"/>
      <x:c r="S80" s="30" t="str"/>
      <x:c r="T80" s="30" t="str"/>
      <x:c r="U80" s="30" t="str"/>
      <x:c r="V80" s="30" t="str"/>
      <x:c r="W80" s="30" t="str"/>
    </x:row>
    <x:row r="81">
      <x:c r="A81" s="30" t="str">
        <x:v>JUDGE-TEMPLATE-080</x:v>
      </x:c>
      <x:c r="B81" s="30" t="str"/>
      <x:c r="C81" s="30" t="str"/>
      <x:c r="D81" s="30" t="str"/>
      <x:c r="E81" s="30" t="str"/>
      <x:c r="F81" s="30" t="str"/>
      <x:c r="G81" s="30" t="str"/>
      <x:c r="H81" s="30" t="str">
        <x:v>10</x:v>
      </x:c>
      <x:c r="I81" s="32" t="str">
        <x:f>IF(OR(G81="",H81=""),"",G81/H81)</x:f>
      </x:c>
      <x:c r="J81" s="30" t="str"/>
      <x:c r="K81" s="30" t="str"/>
      <x:c r="L81" s="30" t="str"/>
      <x:c r="M81" s="30" t="str"/>
      <x:c r="N81" s="30" t="str"/>
      <x:c r="O81" s="30" t="str"/>
      <x:c r="P81" s="30" t="str"/>
      <x:c r="Q81" s="30" t="str"/>
      <x:c r="R81" s="30" t="str"/>
      <x:c r="S81" s="30" t="str"/>
      <x:c r="T81" s="30" t="str"/>
      <x:c r="U81" s="30" t="str"/>
      <x:c r="V81" s="30" t="str"/>
      <x:c r="W81" s="30" t="str"/>
    </x:row>
  </x:sheetData>
  <x:dataValidations count="4">
    <x:dataValidation type="list" sqref="F2:F81">
      <x:formula1>"V0,V1,V2,V3"</x:formula1>
    </x:dataValidation>
    <x:dataValidation type="list" sqref="T2:T81">
      <x:formula1>"high,medium,low"</x:formula1>
    </x:dataValidation>
    <x:dataValidation type="list" sqref="U2:U81">
      <x:formula1>"yes,no"</x:formula1>
    </x:dataValidation>
    <x:dataValidation type="list" sqref="V2:V81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28" hidden="0" customWidth="1"/>
    <x:col min="5" max="5" width="42" hidden="0" customWidth="1"/>
    <x:col min="6" max="6" width="12" hidden="0" customWidth="1"/>
    <x:col min="7" max="7" width="16" hidden="0" customWidth="1"/>
    <x:col min="8" max="8" width="18" hidden="0" customWidth="1"/>
    <x:col min="9" max="9" width="16" hidden="0" customWidth="1"/>
    <x:col min="10" max="10" width="50" hidden="0" customWidth="1"/>
    <x:col min="11" max="11" width="12" hidden="0" customWidth="1"/>
    <x:col min="12" max="12" width="22" hidden="0" customWidth="1"/>
    <x:col min="13" max="13" width="24" hidden="0" customWidth="1"/>
  </x:cols>
  <x:sheetData>
    <x:row r="1">
      <x:c r="A1" s="48" t="str">
        <x:v>route_id</x:v>
      </x:c>
      <x:c r="B1" s="48" t="str">
        <x:v>run_id</x:v>
      </x:c>
      <x:c r="C1" s="48" t="str">
        <x:v>sample_id</x:v>
      </x:c>
      <x:c r="D1" s="48" t="str">
        <x:v>main_error_type</x:v>
      </x:c>
      <x:c r="E1" s="48" t="str">
        <x:v>error_tags</x:v>
      </x:c>
      <x:c r="F1" s="48" t="str">
        <x:v>risk_level</x:v>
      </x:c>
      <x:c r="G1" s="48" t="str">
        <x:v>judge_confidence</x:v>
      </x:c>
      <x:c r="H1" s="48" t="str">
        <x:v>needs_human_review</x:v>
      </x:c>
      <x:c r="I1" s="48" t="str">
        <x:v>data_route</x:v>
      </x:c>
      <x:c r="J1" s="48" t="str">
        <x:v>route_reason</x:v>
      </x:c>
      <x:c r="K1" s="48" t="str">
        <x:v>priority</x:v>
      </x:c>
      <x:c r="L1" s="48" t="str">
        <x:v>reusable_as_gold_sample</x:v>
      </x:c>
      <x:c r="M1" s="48" t="str">
        <x:v>route_subtype</x:v>
      </x:c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ROUTE-TEMPLATE-001</x:v>
      </x:c>
      <x:c r="B2" s="30" t="str"/>
      <x:c r="C2" s="30" t="str"/>
      <x:c r="D2" s="30" t="str"/>
      <x:c r="E2" s="30" t="str"/>
      <x:c r="F2" s="30" t="str"/>
      <x:c r="G2" s="30" t="str"/>
      <x:c r="H2" s="30" t="str"/>
      <x:c r="I2" s="30" t="str"/>
      <x:c r="J2" s="30" t="str"/>
      <x:c r="K2" s="30" t="str"/>
      <x:c r="L2" s="30" t="str"/>
      <x:c r="M2" s="30" t="str"/>
    </x:row>
    <x:row r="3">
      <x:c r="A3" s="30" t="str">
        <x:v>ROUTE-TEMPLATE-002</x:v>
      </x:c>
      <x:c r="B3" s="30" t="str"/>
      <x:c r="C3" s="30" t="str"/>
      <x:c r="D3" s="30" t="str"/>
      <x:c r="E3" s="30" t="str"/>
      <x:c r="F3" s="30" t="str"/>
      <x:c r="G3" s="30" t="str"/>
      <x:c r="H3" s="30" t="str"/>
      <x:c r="I3" s="30" t="str"/>
      <x:c r="J3" s="30" t="str"/>
      <x:c r="K3" s="30" t="str"/>
      <x:c r="L3" s="30" t="str"/>
      <x:c r="M3" s="30" t="str"/>
    </x:row>
    <x:row r="4">
      <x:c r="A4" s="30" t="str">
        <x:v>ROUTE-TEMPLATE-003</x:v>
      </x:c>
      <x:c r="B4" s="30" t="str"/>
      <x:c r="C4" s="30" t="str"/>
      <x:c r="D4" s="30" t="str"/>
      <x:c r="E4" s="30" t="str"/>
      <x:c r="F4" s="30" t="str"/>
      <x:c r="G4" s="30" t="str"/>
      <x:c r="H4" s="30" t="str"/>
      <x:c r="I4" s="30" t="str"/>
      <x:c r="J4" s="30" t="str"/>
      <x:c r="K4" s="30" t="str"/>
      <x:c r="L4" s="30" t="str"/>
      <x:c r="M4" s="30" t="str"/>
    </x:row>
    <x:row r="5">
      <x:c r="A5" s="30" t="str">
        <x:v>ROUTE-TEMPLATE-004</x:v>
      </x:c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0" t="str"/>
      <x:c r="L5" s="30" t="str"/>
      <x:c r="M5" s="30" t="str"/>
    </x:row>
    <x:row r="6">
      <x:c r="A6" s="30" t="str">
        <x:v>ROUTE-TEMPLATE-005</x:v>
      </x:c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0" t="str"/>
      <x:c r="L6" s="30" t="str"/>
      <x:c r="M6" s="30" t="str"/>
    </x:row>
    <x:row r="7">
      <x:c r="A7" s="30" t="str">
        <x:v>ROUTE-TEMPLATE-006</x:v>
      </x:c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str"/>
      <x:c r="K7" s="30" t="str"/>
      <x:c r="L7" s="30" t="str"/>
      <x:c r="M7" s="30" t="str"/>
    </x:row>
    <x:row r="8">
      <x:c r="A8" s="30" t="str">
        <x:v>ROUTE-TEMPLATE-007</x:v>
      </x:c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  <x:c r="K8" s="30" t="str"/>
      <x:c r="L8" s="30" t="str"/>
      <x:c r="M8" s="30" t="str"/>
    </x:row>
    <x:row r="9">
      <x:c r="A9" s="30" t="str">
        <x:v>ROUTE-TEMPLATE-008</x:v>
      </x:c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  <x:c r="K9" s="30" t="str"/>
      <x:c r="L9" s="30" t="str"/>
      <x:c r="M9" s="30" t="str"/>
    </x:row>
    <x:row r="10">
      <x:c r="A10" s="30" t="str">
        <x:v>ROUTE-TEMPLATE-009</x:v>
      </x:c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  <x:c r="K10" s="30" t="str"/>
      <x:c r="L10" s="30" t="str"/>
      <x:c r="M10" s="30" t="str"/>
    </x:row>
    <x:row r="11">
      <x:c r="A11" s="30" t="str">
        <x:v>ROUTE-TEMPLATE-010</x:v>
      </x:c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  <x:c r="J11" s="30" t="str"/>
      <x:c r="K11" s="30" t="str"/>
      <x:c r="L11" s="30" t="str"/>
      <x:c r="M11" s="30" t="str"/>
    </x:row>
    <x:row r="12">
      <x:c r="A12" s="30" t="str">
        <x:v>ROUTE-TEMPLATE-011</x:v>
      </x:c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30" t="str"/>
      <x:c r="L12" s="30" t="str"/>
      <x:c r="M12" s="30" t="str"/>
    </x:row>
    <x:row r="13">
      <x:c r="A13" s="30" t="str">
        <x:v>ROUTE-TEMPLATE-012</x:v>
      </x:c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  <x:c r="K13" s="30" t="str"/>
      <x:c r="L13" s="30" t="str"/>
      <x:c r="M13" s="30" t="str"/>
    </x:row>
    <x:row r="14">
      <x:c r="A14" s="30" t="str">
        <x:v>ROUTE-TEMPLATE-013</x:v>
      </x:c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  <x:c r="K14" s="30" t="str"/>
      <x:c r="L14" s="30" t="str"/>
      <x:c r="M14" s="30" t="str"/>
    </x:row>
    <x:row r="15">
      <x:c r="A15" s="30" t="str">
        <x:v>ROUTE-TEMPLATE-014</x:v>
      </x:c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  <x:c r="J15" s="30" t="str"/>
      <x:c r="K15" s="30" t="str"/>
      <x:c r="L15" s="30" t="str"/>
      <x:c r="M15" s="30" t="str"/>
    </x:row>
    <x:row r="16">
      <x:c r="A16" s="30" t="str">
        <x:v>ROUTE-TEMPLATE-015</x:v>
      </x:c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  <x:c r="K16" s="30" t="str"/>
      <x:c r="L16" s="30" t="str"/>
      <x:c r="M16" s="30" t="str"/>
    </x:row>
    <x:row r="17">
      <x:c r="A17" s="30" t="str">
        <x:v>ROUTE-TEMPLATE-016</x:v>
      </x:c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/>
      <x:c r="J17" s="30" t="str"/>
      <x:c r="K17" s="30" t="str"/>
      <x:c r="L17" s="30" t="str"/>
      <x:c r="M17" s="30" t="str"/>
    </x:row>
    <x:row r="18">
      <x:c r="A18" s="30" t="str">
        <x:v>ROUTE-TEMPLATE-017</x:v>
      </x:c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  <x:c r="K18" s="30" t="str"/>
      <x:c r="L18" s="30" t="str"/>
      <x:c r="M18" s="30" t="str"/>
    </x:row>
    <x:row r="19">
      <x:c r="A19" s="30" t="str">
        <x:v>ROUTE-TEMPLATE-018</x:v>
      </x:c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/>
      <x:c r="J19" s="30" t="str"/>
      <x:c r="K19" s="30" t="str"/>
      <x:c r="L19" s="30" t="str"/>
      <x:c r="M19" s="30" t="str"/>
    </x:row>
    <x:row r="20">
      <x:c r="A20" s="30" t="str">
        <x:v>ROUTE-TEMPLATE-019</x:v>
      </x:c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  <x:c r="J20" s="30" t="str"/>
      <x:c r="K20" s="30" t="str"/>
      <x:c r="L20" s="30" t="str"/>
      <x:c r="M20" s="30" t="str"/>
    </x:row>
    <x:row r="21">
      <x:c r="A21" s="30" t="str">
        <x:v>ROUTE-TEMPLATE-020</x:v>
      </x:c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  <x:c r="J21" s="30" t="str"/>
      <x:c r="K21" s="30" t="str"/>
      <x:c r="L21" s="30" t="str"/>
      <x:c r="M21" s="30" t="str"/>
    </x:row>
    <x:row r="22">
      <x:c r="A22" s="30" t="str">
        <x:v>ROUTE-TEMPLATE-021</x:v>
      </x:c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  <x:c r="J22" s="30" t="str"/>
      <x:c r="K22" s="30" t="str"/>
      <x:c r="L22" s="30" t="str"/>
      <x:c r="M22" s="30" t="str"/>
    </x:row>
    <x:row r="23">
      <x:c r="A23" s="30" t="str">
        <x:v>ROUTE-TEMPLATE-022</x:v>
      </x:c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  <x:c r="J23" s="30" t="str"/>
      <x:c r="K23" s="30" t="str"/>
      <x:c r="L23" s="30" t="str"/>
      <x:c r="M23" s="30" t="str"/>
    </x:row>
    <x:row r="24">
      <x:c r="A24" s="30" t="str">
        <x:v>ROUTE-TEMPLATE-023</x:v>
      </x:c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  <x:c r="J24" s="30" t="str"/>
      <x:c r="K24" s="30" t="str"/>
      <x:c r="L24" s="30" t="str"/>
      <x:c r="M24" s="30" t="str"/>
    </x:row>
    <x:row r="25">
      <x:c r="A25" s="30" t="str">
        <x:v>ROUTE-TEMPLATE-024</x:v>
      </x:c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/>
      <x:c r="J25" s="30" t="str"/>
      <x:c r="K25" s="30" t="str"/>
      <x:c r="L25" s="30" t="str"/>
      <x:c r="M25" s="30" t="str"/>
    </x:row>
    <x:row r="26">
      <x:c r="A26" s="30" t="str">
        <x:v>ROUTE-TEMPLATE-025</x:v>
      </x:c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/>
      <x:c r="J26" s="30" t="str"/>
      <x:c r="K26" s="30" t="str"/>
      <x:c r="L26" s="30" t="str"/>
      <x:c r="M26" s="30" t="str"/>
    </x:row>
    <x:row r="27">
      <x:c r="A27" s="30" t="str">
        <x:v>ROUTE-TEMPLATE-026</x:v>
      </x:c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/>
      <x:c r="J27" s="30" t="str"/>
      <x:c r="K27" s="30" t="str"/>
      <x:c r="L27" s="30" t="str"/>
      <x:c r="M27" s="30" t="str"/>
    </x:row>
    <x:row r="28">
      <x:c r="A28" s="30" t="str">
        <x:v>ROUTE-TEMPLATE-027</x:v>
      </x:c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/>
      <x:c r="J28" s="30" t="str"/>
      <x:c r="K28" s="30" t="str"/>
      <x:c r="L28" s="30" t="str"/>
      <x:c r="M28" s="30" t="str"/>
    </x:row>
    <x:row r="29">
      <x:c r="A29" s="30" t="str">
        <x:v>ROUTE-TEMPLATE-028</x:v>
      </x:c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/>
      <x:c r="J29" s="30" t="str"/>
      <x:c r="K29" s="30" t="str"/>
      <x:c r="L29" s="30" t="str"/>
      <x:c r="M29" s="30" t="str"/>
    </x:row>
    <x:row r="30">
      <x:c r="A30" s="30" t="str">
        <x:v>ROUTE-TEMPLATE-029</x:v>
      </x:c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/>
      <x:c r="J30" s="30" t="str"/>
      <x:c r="K30" s="30" t="str"/>
      <x:c r="L30" s="30" t="str"/>
      <x:c r="M30" s="30" t="str"/>
    </x:row>
    <x:row r="31">
      <x:c r="A31" s="30" t="str">
        <x:v>ROUTE-TEMPLATE-030</x:v>
      </x:c>
      <x:c r="B31" s="30" t="str"/>
      <x:c r="C31" s="30" t="str"/>
      <x:c r="D31" s="30" t="str"/>
      <x:c r="E31" s="30" t="str"/>
      <x:c r="F31" s="30" t="str"/>
      <x:c r="G31" s="30" t="str"/>
      <x:c r="H31" s="30" t="str"/>
      <x:c r="I31" s="30" t="str"/>
      <x:c r="J31" s="30" t="str"/>
      <x:c r="K31" s="30" t="str"/>
      <x:c r="L31" s="30" t="str"/>
      <x:c r="M31" s="30" t="str"/>
    </x:row>
    <x:row r="32">
      <x:c r="A32" s="30" t="str">
        <x:v>ROUTE-TEMPLATE-031</x:v>
      </x:c>
      <x:c r="B32" s="30" t="str"/>
      <x:c r="C32" s="30" t="str"/>
      <x:c r="D32" s="30" t="str"/>
      <x:c r="E32" s="30" t="str"/>
      <x:c r="F32" s="30" t="str"/>
      <x:c r="G32" s="30" t="str"/>
      <x:c r="H32" s="30" t="str"/>
      <x:c r="I32" s="30" t="str"/>
      <x:c r="J32" s="30" t="str"/>
      <x:c r="K32" s="30" t="str"/>
      <x:c r="L32" s="30" t="str"/>
      <x:c r="M32" s="30" t="str"/>
    </x:row>
    <x:row r="33">
      <x:c r="A33" s="30" t="str">
        <x:v>ROUTE-TEMPLATE-032</x:v>
      </x:c>
      <x:c r="B33" s="30" t="str"/>
      <x:c r="C33" s="30" t="str"/>
      <x:c r="D33" s="30" t="str"/>
      <x:c r="E33" s="30" t="str"/>
      <x:c r="F33" s="30" t="str"/>
      <x:c r="G33" s="30" t="str"/>
      <x:c r="H33" s="30" t="str"/>
      <x:c r="I33" s="30" t="str"/>
      <x:c r="J33" s="30" t="str"/>
      <x:c r="K33" s="30" t="str"/>
      <x:c r="L33" s="30" t="str"/>
      <x:c r="M33" s="30" t="str"/>
    </x:row>
    <x:row r="34">
      <x:c r="A34" s="30" t="str">
        <x:v>ROUTE-TEMPLATE-033</x:v>
      </x:c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/>
      <x:c r="J34" s="30" t="str"/>
      <x:c r="K34" s="30" t="str"/>
      <x:c r="L34" s="30" t="str"/>
      <x:c r="M34" s="30" t="str"/>
    </x:row>
    <x:row r="35">
      <x:c r="A35" s="30" t="str">
        <x:v>ROUTE-TEMPLATE-034</x:v>
      </x:c>
      <x:c r="B35" s="30" t="str"/>
      <x:c r="C35" s="30" t="str"/>
      <x:c r="D35" s="30" t="str"/>
      <x:c r="E35" s="30" t="str"/>
      <x:c r="F35" s="30" t="str"/>
      <x:c r="G35" s="30" t="str"/>
      <x:c r="H35" s="30" t="str"/>
      <x:c r="I35" s="30" t="str"/>
      <x:c r="J35" s="30" t="str"/>
      <x:c r="K35" s="30" t="str"/>
      <x:c r="L35" s="30" t="str"/>
      <x:c r="M35" s="30" t="str"/>
    </x:row>
    <x:row r="36">
      <x:c r="A36" s="30" t="str">
        <x:v>ROUTE-TEMPLATE-035</x:v>
      </x:c>
      <x:c r="B36" s="30" t="str"/>
      <x:c r="C36" s="30" t="str"/>
      <x:c r="D36" s="30" t="str"/>
      <x:c r="E36" s="30" t="str"/>
      <x:c r="F36" s="30" t="str"/>
      <x:c r="G36" s="30" t="str"/>
      <x:c r="H36" s="30" t="str"/>
      <x:c r="I36" s="30" t="str"/>
      <x:c r="J36" s="30" t="str"/>
      <x:c r="K36" s="30" t="str"/>
      <x:c r="L36" s="30" t="str"/>
      <x:c r="M36" s="30" t="str"/>
    </x:row>
    <x:row r="37">
      <x:c r="A37" s="30" t="str">
        <x:v>ROUTE-TEMPLATE-036</x:v>
      </x:c>
      <x:c r="B37" s="30" t="str"/>
      <x:c r="C37" s="30" t="str"/>
      <x:c r="D37" s="30" t="str"/>
      <x:c r="E37" s="30" t="str"/>
      <x:c r="F37" s="30" t="str"/>
      <x:c r="G37" s="30" t="str"/>
      <x:c r="H37" s="30" t="str"/>
      <x:c r="I37" s="30" t="str"/>
      <x:c r="J37" s="30" t="str"/>
      <x:c r="K37" s="30" t="str"/>
      <x:c r="L37" s="30" t="str"/>
      <x:c r="M37" s="30" t="str"/>
    </x:row>
    <x:row r="38">
      <x:c r="A38" s="30" t="str">
        <x:v>ROUTE-TEMPLATE-037</x:v>
      </x:c>
      <x:c r="B38" s="30" t="str"/>
      <x:c r="C38" s="30" t="str"/>
      <x:c r="D38" s="30" t="str"/>
      <x:c r="E38" s="30" t="str"/>
      <x:c r="F38" s="30" t="str"/>
      <x:c r="G38" s="30" t="str"/>
      <x:c r="H38" s="30" t="str"/>
      <x:c r="I38" s="30" t="str"/>
      <x:c r="J38" s="30" t="str"/>
      <x:c r="K38" s="30" t="str"/>
      <x:c r="L38" s="30" t="str"/>
      <x:c r="M38" s="30" t="str"/>
    </x:row>
    <x:row r="39">
      <x:c r="A39" s="30" t="str">
        <x:v>ROUTE-TEMPLATE-038</x:v>
      </x:c>
      <x:c r="B39" s="30" t="str"/>
      <x:c r="C39" s="30" t="str"/>
      <x:c r="D39" s="30" t="str"/>
      <x:c r="E39" s="30" t="str"/>
      <x:c r="F39" s="30" t="str"/>
      <x:c r="G39" s="30" t="str"/>
      <x:c r="H39" s="30" t="str"/>
      <x:c r="I39" s="30" t="str"/>
      <x:c r="J39" s="30" t="str"/>
      <x:c r="K39" s="30" t="str"/>
      <x:c r="L39" s="30" t="str"/>
      <x:c r="M39" s="30" t="str"/>
    </x:row>
    <x:row r="40">
      <x:c r="A40" s="30" t="str">
        <x:v>ROUTE-TEMPLATE-039</x:v>
      </x:c>
      <x:c r="B40" s="30" t="str"/>
      <x:c r="C40" s="30" t="str"/>
      <x:c r="D40" s="30" t="str"/>
      <x:c r="E40" s="30" t="str"/>
      <x:c r="F40" s="30" t="str"/>
      <x:c r="G40" s="30" t="str"/>
      <x:c r="H40" s="30" t="str"/>
      <x:c r="I40" s="30" t="str"/>
      <x:c r="J40" s="30" t="str"/>
      <x:c r="K40" s="30" t="str"/>
      <x:c r="L40" s="30" t="str"/>
      <x:c r="M40" s="30" t="str"/>
    </x:row>
    <x:row r="41">
      <x:c r="A41" s="30" t="str">
        <x:v>ROUTE-TEMPLATE-040</x:v>
      </x:c>
      <x:c r="B41" s="30" t="str"/>
      <x:c r="C41" s="30" t="str"/>
      <x:c r="D41" s="30" t="str"/>
      <x:c r="E41" s="30" t="str"/>
      <x:c r="F41" s="30" t="str"/>
      <x:c r="G41" s="30" t="str"/>
      <x:c r="H41" s="30" t="str"/>
      <x:c r="I41" s="30" t="str"/>
      <x:c r="J41" s="30" t="str"/>
      <x:c r="K41" s="30" t="str"/>
      <x:c r="L41" s="30" t="str"/>
      <x:c r="M41" s="30" t="str"/>
    </x:row>
    <x:row r="42">
      <x:c r="A42" s="30" t="str">
        <x:v>ROUTE-TEMPLATE-041</x:v>
      </x:c>
      <x:c r="B42" s="30" t="str"/>
      <x:c r="C42" s="30" t="str"/>
      <x:c r="D42" s="30" t="str"/>
      <x:c r="E42" s="30" t="str"/>
      <x:c r="F42" s="30" t="str"/>
      <x:c r="G42" s="30" t="str"/>
      <x:c r="H42" s="30" t="str"/>
      <x:c r="I42" s="30" t="str"/>
      <x:c r="J42" s="30" t="str"/>
      <x:c r="K42" s="30" t="str"/>
      <x:c r="L42" s="30" t="str"/>
      <x:c r="M42" s="30" t="str"/>
    </x:row>
    <x:row r="43">
      <x:c r="A43" s="30" t="str">
        <x:v>ROUTE-TEMPLATE-042</x:v>
      </x:c>
      <x:c r="B43" s="30" t="str"/>
      <x:c r="C43" s="30" t="str"/>
      <x:c r="D43" s="30" t="str"/>
      <x:c r="E43" s="30" t="str"/>
      <x:c r="F43" s="30" t="str"/>
      <x:c r="G43" s="30" t="str"/>
      <x:c r="H43" s="30" t="str"/>
      <x:c r="I43" s="30" t="str"/>
      <x:c r="J43" s="30" t="str"/>
      <x:c r="K43" s="30" t="str"/>
      <x:c r="L43" s="30" t="str"/>
      <x:c r="M43" s="30" t="str"/>
    </x:row>
    <x:row r="44">
      <x:c r="A44" s="30" t="str">
        <x:v>ROUTE-TEMPLATE-043</x:v>
      </x:c>
      <x:c r="B44" s="30" t="str"/>
      <x:c r="C44" s="30" t="str"/>
      <x:c r="D44" s="30" t="str"/>
      <x:c r="E44" s="30" t="str"/>
      <x:c r="F44" s="30" t="str"/>
      <x:c r="G44" s="30" t="str"/>
      <x:c r="H44" s="30" t="str"/>
      <x:c r="I44" s="30" t="str"/>
      <x:c r="J44" s="30" t="str"/>
      <x:c r="K44" s="30" t="str"/>
      <x:c r="L44" s="30" t="str"/>
      <x:c r="M44" s="30" t="str"/>
    </x:row>
    <x:row r="45">
      <x:c r="A45" s="30" t="str">
        <x:v>ROUTE-TEMPLATE-044</x:v>
      </x:c>
      <x:c r="B45" s="30" t="str"/>
      <x:c r="C45" s="30" t="str"/>
      <x:c r="D45" s="30" t="str"/>
      <x:c r="E45" s="30" t="str"/>
      <x:c r="F45" s="30" t="str"/>
      <x:c r="G45" s="30" t="str"/>
      <x:c r="H45" s="30" t="str"/>
      <x:c r="I45" s="30" t="str"/>
      <x:c r="J45" s="30" t="str"/>
      <x:c r="K45" s="30" t="str"/>
      <x:c r="L45" s="30" t="str"/>
      <x:c r="M45" s="30" t="str"/>
    </x:row>
    <x:row r="46">
      <x:c r="A46" s="30" t="str">
        <x:v>ROUTE-TEMPLATE-045</x:v>
      </x:c>
      <x:c r="B46" s="30" t="str"/>
      <x:c r="C46" s="30" t="str"/>
      <x:c r="D46" s="30" t="str"/>
      <x:c r="E46" s="30" t="str"/>
      <x:c r="F46" s="30" t="str"/>
      <x:c r="G46" s="30" t="str"/>
      <x:c r="H46" s="30" t="str"/>
      <x:c r="I46" s="30" t="str"/>
      <x:c r="J46" s="30" t="str"/>
      <x:c r="K46" s="30" t="str"/>
      <x:c r="L46" s="30" t="str"/>
      <x:c r="M46" s="30" t="str"/>
    </x:row>
    <x:row r="47">
      <x:c r="A47" s="30" t="str">
        <x:v>ROUTE-TEMPLATE-046</x:v>
      </x:c>
      <x:c r="B47" s="30" t="str"/>
      <x:c r="C47" s="30" t="str"/>
      <x:c r="D47" s="30" t="str"/>
      <x:c r="E47" s="30" t="str"/>
      <x:c r="F47" s="30" t="str"/>
      <x:c r="G47" s="30" t="str"/>
      <x:c r="H47" s="30" t="str"/>
      <x:c r="I47" s="30" t="str"/>
      <x:c r="J47" s="30" t="str"/>
      <x:c r="K47" s="30" t="str"/>
      <x:c r="L47" s="30" t="str"/>
      <x:c r="M47" s="30" t="str"/>
    </x:row>
    <x:row r="48">
      <x:c r="A48" s="30" t="str">
        <x:v>ROUTE-TEMPLATE-047</x:v>
      </x:c>
      <x:c r="B48" s="30" t="str"/>
      <x:c r="C48" s="30" t="str"/>
      <x:c r="D48" s="30" t="str"/>
      <x:c r="E48" s="30" t="str"/>
      <x:c r="F48" s="30" t="str"/>
      <x:c r="G48" s="30" t="str"/>
      <x:c r="H48" s="30" t="str"/>
      <x:c r="I48" s="30" t="str"/>
      <x:c r="J48" s="30" t="str"/>
      <x:c r="K48" s="30" t="str"/>
      <x:c r="L48" s="30" t="str"/>
      <x:c r="M48" s="30" t="str"/>
    </x:row>
    <x:row r="49">
      <x:c r="A49" s="30" t="str">
        <x:v>ROUTE-TEMPLATE-048</x:v>
      </x:c>
      <x:c r="B49" s="30" t="str"/>
      <x:c r="C49" s="30" t="str"/>
      <x:c r="D49" s="30" t="str"/>
      <x:c r="E49" s="30" t="str"/>
      <x:c r="F49" s="30" t="str"/>
      <x:c r="G49" s="30" t="str"/>
      <x:c r="H49" s="30" t="str"/>
      <x:c r="I49" s="30" t="str"/>
      <x:c r="J49" s="30" t="str"/>
      <x:c r="K49" s="30" t="str"/>
      <x:c r="L49" s="30" t="str"/>
      <x:c r="M49" s="30" t="str"/>
    </x:row>
    <x:row r="50">
      <x:c r="A50" s="30" t="str">
        <x:v>ROUTE-TEMPLATE-049</x:v>
      </x:c>
      <x:c r="B50" s="30" t="str"/>
      <x:c r="C50" s="30" t="str"/>
      <x:c r="D50" s="30" t="str"/>
      <x:c r="E50" s="30" t="str"/>
      <x:c r="F50" s="30" t="str"/>
      <x:c r="G50" s="30" t="str"/>
      <x:c r="H50" s="30" t="str"/>
      <x:c r="I50" s="30" t="str"/>
      <x:c r="J50" s="30" t="str"/>
      <x:c r="K50" s="30" t="str"/>
      <x:c r="L50" s="30" t="str"/>
      <x:c r="M50" s="30" t="str"/>
    </x:row>
    <x:row r="51">
      <x:c r="A51" s="30" t="str">
        <x:v>ROUTE-TEMPLATE-050</x:v>
      </x:c>
      <x:c r="B51" s="30" t="str"/>
      <x:c r="C51" s="30" t="str"/>
      <x:c r="D51" s="30" t="str"/>
      <x:c r="E51" s="30" t="str"/>
      <x:c r="F51" s="30" t="str"/>
      <x:c r="G51" s="30" t="str"/>
      <x:c r="H51" s="30" t="str"/>
      <x:c r="I51" s="30" t="str"/>
      <x:c r="J51" s="30" t="str"/>
      <x:c r="K51" s="30" t="str"/>
      <x:c r="L51" s="30" t="str"/>
      <x:c r="M51" s="30" t="str"/>
    </x:row>
    <x:row r="52">
      <x:c r="A52" s="30" t="str">
        <x:v>ROUTE-TEMPLATE-051</x:v>
      </x:c>
      <x:c r="B52" s="30" t="str"/>
      <x:c r="C52" s="30" t="str"/>
      <x:c r="D52" s="30" t="str"/>
      <x:c r="E52" s="30" t="str"/>
      <x:c r="F52" s="30" t="str"/>
      <x:c r="G52" s="30" t="str"/>
      <x:c r="H52" s="30" t="str"/>
      <x:c r="I52" s="30" t="str"/>
      <x:c r="J52" s="30" t="str"/>
      <x:c r="K52" s="30" t="str"/>
      <x:c r="L52" s="30" t="str"/>
      <x:c r="M52" s="30" t="str"/>
    </x:row>
    <x:row r="53">
      <x:c r="A53" s="30" t="str">
        <x:v>ROUTE-TEMPLATE-052</x:v>
      </x:c>
      <x:c r="B53" s="30" t="str"/>
      <x:c r="C53" s="30" t="str"/>
      <x:c r="D53" s="30" t="str"/>
      <x:c r="E53" s="30" t="str"/>
      <x:c r="F53" s="30" t="str"/>
      <x:c r="G53" s="30" t="str"/>
      <x:c r="H53" s="30" t="str"/>
      <x:c r="I53" s="30" t="str"/>
      <x:c r="J53" s="30" t="str"/>
      <x:c r="K53" s="30" t="str"/>
      <x:c r="L53" s="30" t="str"/>
      <x:c r="M53" s="30" t="str"/>
    </x:row>
    <x:row r="54">
      <x:c r="A54" s="30" t="str">
        <x:v>ROUTE-TEMPLATE-053</x:v>
      </x:c>
      <x:c r="B54" s="30" t="str"/>
      <x:c r="C54" s="30" t="str"/>
      <x:c r="D54" s="30" t="str"/>
      <x:c r="E54" s="30" t="str"/>
      <x:c r="F54" s="30" t="str"/>
      <x:c r="G54" s="30" t="str"/>
      <x:c r="H54" s="30" t="str"/>
      <x:c r="I54" s="30" t="str"/>
      <x:c r="J54" s="30" t="str"/>
      <x:c r="K54" s="30" t="str"/>
      <x:c r="L54" s="30" t="str"/>
      <x:c r="M54" s="30" t="str"/>
    </x:row>
    <x:row r="55">
      <x:c r="A55" s="30" t="str">
        <x:v>ROUTE-TEMPLATE-054</x:v>
      </x:c>
      <x:c r="B55" s="30" t="str"/>
      <x:c r="C55" s="30" t="str"/>
      <x:c r="D55" s="30" t="str"/>
      <x:c r="E55" s="30" t="str"/>
      <x:c r="F55" s="30" t="str"/>
      <x:c r="G55" s="30" t="str"/>
      <x:c r="H55" s="30" t="str"/>
      <x:c r="I55" s="30" t="str"/>
      <x:c r="J55" s="30" t="str"/>
      <x:c r="K55" s="30" t="str"/>
      <x:c r="L55" s="30" t="str"/>
      <x:c r="M55" s="30" t="str"/>
    </x:row>
    <x:row r="56">
      <x:c r="A56" s="30" t="str">
        <x:v>ROUTE-TEMPLATE-055</x:v>
      </x:c>
      <x:c r="B56" s="30" t="str"/>
      <x:c r="C56" s="30" t="str"/>
      <x:c r="D56" s="30" t="str"/>
      <x:c r="E56" s="30" t="str"/>
      <x:c r="F56" s="30" t="str"/>
      <x:c r="G56" s="30" t="str"/>
      <x:c r="H56" s="30" t="str"/>
      <x:c r="I56" s="30" t="str"/>
      <x:c r="J56" s="30" t="str"/>
      <x:c r="K56" s="30" t="str"/>
      <x:c r="L56" s="30" t="str"/>
      <x:c r="M56" s="30" t="str"/>
    </x:row>
    <x:row r="57">
      <x:c r="A57" s="30" t="str">
        <x:v>ROUTE-TEMPLATE-056</x:v>
      </x:c>
      <x:c r="B57" s="30" t="str"/>
      <x:c r="C57" s="30" t="str"/>
      <x:c r="D57" s="30" t="str"/>
      <x:c r="E57" s="30" t="str"/>
      <x:c r="F57" s="30" t="str"/>
      <x:c r="G57" s="30" t="str"/>
      <x:c r="H57" s="30" t="str"/>
      <x:c r="I57" s="30" t="str"/>
      <x:c r="J57" s="30" t="str"/>
      <x:c r="K57" s="30" t="str"/>
      <x:c r="L57" s="30" t="str"/>
      <x:c r="M57" s="30" t="str"/>
    </x:row>
    <x:row r="58">
      <x:c r="A58" s="30" t="str">
        <x:v>ROUTE-TEMPLATE-057</x:v>
      </x:c>
      <x:c r="B58" s="30" t="str"/>
      <x:c r="C58" s="30" t="str"/>
      <x:c r="D58" s="30" t="str"/>
      <x:c r="E58" s="30" t="str"/>
      <x:c r="F58" s="30" t="str"/>
      <x:c r="G58" s="30" t="str"/>
      <x:c r="H58" s="30" t="str"/>
      <x:c r="I58" s="30" t="str"/>
      <x:c r="J58" s="30" t="str"/>
      <x:c r="K58" s="30" t="str"/>
      <x:c r="L58" s="30" t="str"/>
      <x:c r="M58" s="30" t="str"/>
    </x:row>
    <x:row r="59">
      <x:c r="A59" s="30" t="str">
        <x:v>ROUTE-TEMPLATE-058</x:v>
      </x:c>
      <x:c r="B59" s="30" t="str"/>
      <x:c r="C59" s="30" t="str"/>
      <x:c r="D59" s="30" t="str"/>
      <x:c r="E59" s="30" t="str"/>
      <x:c r="F59" s="30" t="str"/>
      <x:c r="G59" s="30" t="str"/>
      <x:c r="H59" s="30" t="str"/>
      <x:c r="I59" s="30" t="str"/>
      <x:c r="J59" s="30" t="str"/>
      <x:c r="K59" s="30" t="str"/>
      <x:c r="L59" s="30" t="str"/>
      <x:c r="M59" s="30" t="str"/>
    </x:row>
    <x:row r="60">
      <x:c r="A60" s="30" t="str">
        <x:v>ROUTE-TEMPLATE-059</x:v>
      </x:c>
      <x:c r="B60" s="30" t="str"/>
      <x:c r="C60" s="30" t="str"/>
      <x:c r="D60" s="30" t="str"/>
      <x:c r="E60" s="30" t="str"/>
      <x:c r="F60" s="30" t="str"/>
      <x:c r="G60" s="30" t="str"/>
      <x:c r="H60" s="30" t="str"/>
      <x:c r="I60" s="30" t="str"/>
      <x:c r="J60" s="30" t="str"/>
      <x:c r="K60" s="30" t="str"/>
      <x:c r="L60" s="30" t="str"/>
      <x:c r="M60" s="30" t="str"/>
    </x:row>
    <x:row r="61">
      <x:c r="A61" s="30" t="str">
        <x:v>ROUTE-TEMPLATE-060</x:v>
      </x:c>
      <x:c r="B61" s="30" t="str"/>
      <x:c r="C61" s="30" t="str"/>
      <x:c r="D61" s="30" t="str"/>
      <x:c r="E61" s="30" t="str"/>
      <x:c r="F61" s="30" t="str"/>
      <x:c r="G61" s="30" t="str"/>
      <x:c r="H61" s="30" t="str"/>
      <x:c r="I61" s="30" t="str"/>
      <x:c r="J61" s="30" t="str"/>
      <x:c r="K61" s="30" t="str"/>
      <x:c r="L61" s="30" t="str"/>
      <x:c r="M61" s="30" t="str"/>
    </x:row>
  </x:sheetData>
  <x:dataValidations count="2">
    <x:dataValidation type="list" sqref="I2:I61">
      <x:formula1>"eval,sft,preference,badcase,human_review"</x:formula1>
    </x:dataValidation>
    <x:dataValidation type="list" sqref="K2:K61">
      <x:formula1>"P0,P1,P2"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46" hidden="0" customWidth="1"/>
    <x:col min="5" max="5" width="12" hidden="0" customWidth="1"/>
    <x:col min="6" max="6" width="18" hidden="0" customWidth="1"/>
    <x:col min="7" max="7" width="16" hidden="0" customWidth="1"/>
    <x:col min="8" max="8" width="52" hidden="0" customWidth="1"/>
    <x:col min="9" max="9" width="18" hidden="0" customWidth="1"/>
    <x:col min="10" max="10" width="18" hidden="0" customWidth="1"/>
  </x:cols>
  <x:sheetData>
    <x:row r="1">
      <x:c r="A1" s="48" t="str">
        <x:v>review_id</x:v>
      </x:c>
      <x:c r="B1" s="48" t="str">
        <x:v>sample_id</x:v>
      </x:c>
      <x:c r="C1" s="48" t="str">
        <x:v>run_id</x:v>
      </x:c>
      <x:c r="D1" s="48" t="str">
        <x:v>trigger_reason</x:v>
      </x:c>
      <x:c r="E1" s="48" t="str">
        <x:v>risk_level</x:v>
      </x:c>
      <x:c r="F1" s="48" t="str">
        <x:v>assigned_reviewer</x:v>
      </x:c>
      <x:c r="G1" s="48" t="str">
        <x:v>review_status</x:v>
      </x:c>
      <x:c r="H1" s="48" t="str">
        <x:v>review_note</x:v>
      </x:c>
      <x:c r="I1" s="48" t="str">
        <x:v>gold_update_needed</x:v>
      </x:c>
      <x:c r="J1" s="48" t="str">
        <x:v>final_data_route</x:v>
      </x:c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HR-TEMPLATE-001</x:v>
      </x:c>
      <x:c r="B2" s="30" t="str"/>
      <x:c r="C2" s="30" t="str"/>
      <x:c r="D2" s="30" t="str">
        <x:v>high risk / low judge confidence / fabricated citation</x:v>
      </x:c>
      <x:c r="E2" s="30" t="str"/>
      <x:c r="F2" s="30" t="str"/>
      <x:c r="G2" s="30" t="str">
        <x:v>pending</x:v>
      </x:c>
      <x:c r="H2" s="30" t="str"/>
      <x:c r="I2" s="30" t="str"/>
      <x:c r="J2" s="30" t="str"/>
    </x:row>
    <x:row r="3">
      <x:c r="A3" s="30" t="str">
        <x:v>HR-TEMPLATE-002</x:v>
      </x:c>
      <x:c r="B3" s="30" t="str"/>
      <x:c r="C3" s="30" t="str"/>
      <x:c r="D3" s="30" t="str">
        <x:v>high risk / low judge confidence / fabricated citation</x:v>
      </x:c>
      <x:c r="E3" s="30" t="str"/>
      <x:c r="F3" s="30" t="str"/>
      <x:c r="G3" s="30" t="str">
        <x:v>pending</x:v>
      </x:c>
      <x:c r="H3" s="30" t="str"/>
      <x:c r="I3" s="30" t="str"/>
      <x:c r="J3" s="30" t="str"/>
    </x:row>
    <x:row r="4">
      <x:c r="A4" s="30" t="str">
        <x:v>HR-TEMPLATE-003</x:v>
      </x:c>
      <x:c r="B4" s="30" t="str"/>
      <x:c r="C4" s="30" t="str"/>
      <x:c r="D4" s="30" t="str">
        <x:v>high risk / low judge confidence / fabricated citation</x:v>
      </x:c>
      <x:c r="E4" s="30" t="str"/>
      <x:c r="F4" s="30" t="str"/>
      <x:c r="G4" s="30" t="str">
        <x:v>pending</x:v>
      </x:c>
      <x:c r="H4" s="30" t="str"/>
      <x:c r="I4" s="30" t="str"/>
      <x:c r="J4" s="30" t="str"/>
    </x:row>
    <x:row r="5">
      <x:c r="A5" s="30" t="str">
        <x:v>HR-TEMPLATE-004</x:v>
      </x:c>
      <x:c r="B5" s="30" t="str"/>
      <x:c r="C5" s="30" t="str"/>
      <x:c r="D5" s="30" t="str">
        <x:v>high risk / low judge confidence / fabricated citation</x:v>
      </x:c>
      <x:c r="E5" s="30" t="str"/>
      <x:c r="F5" s="30" t="str"/>
      <x:c r="G5" s="30" t="str">
        <x:v>pending</x:v>
      </x:c>
      <x:c r="H5" s="30" t="str"/>
      <x:c r="I5" s="30" t="str"/>
      <x:c r="J5" s="30" t="str"/>
    </x:row>
    <x:row r="6">
      <x:c r="A6" s="30" t="str">
        <x:v>HR-TEMPLATE-005</x:v>
      </x:c>
      <x:c r="B6" s="30" t="str"/>
      <x:c r="C6" s="30" t="str"/>
      <x:c r="D6" s="30" t="str">
        <x:v>high risk / low judge confidence / fabricated citation</x:v>
      </x:c>
      <x:c r="E6" s="30" t="str"/>
      <x:c r="F6" s="30" t="str"/>
      <x:c r="G6" s="30" t="str">
        <x:v>pending</x:v>
      </x:c>
      <x:c r="H6" s="30" t="str"/>
      <x:c r="I6" s="30" t="str"/>
      <x:c r="J6" s="30" t="str"/>
    </x:row>
    <x:row r="7">
      <x:c r="A7" s="30" t="str">
        <x:v>HR-TEMPLATE-006</x:v>
      </x:c>
      <x:c r="B7" s="30" t="str"/>
      <x:c r="C7" s="30" t="str"/>
      <x:c r="D7" s="30" t="str">
        <x:v>high risk / low judge confidence / fabricated citation</x:v>
      </x:c>
      <x:c r="E7" s="30" t="str"/>
      <x:c r="F7" s="30" t="str"/>
      <x:c r="G7" s="30" t="str">
        <x:v>pending</x:v>
      </x:c>
      <x:c r="H7" s="30" t="str"/>
      <x:c r="I7" s="30" t="str"/>
      <x:c r="J7" s="30" t="str"/>
    </x:row>
    <x:row r="8">
      <x:c r="A8" s="30" t="str">
        <x:v>HR-TEMPLATE-007</x:v>
      </x:c>
      <x:c r="B8" s="30" t="str"/>
      <x:c r="C8" s="30" t="str"/>
      <x:c r="D8" s="30" t="str">
        <x:v>high risk / low judge confidence / fabricated citation</x:v>
      </x:c>
      <x:c r="E8" s="30" t="str"/>
      <x:c r="F8" s="30" t="str"/>
      <x:c r="G8" s="30" t="str">
        <x:v>pending</x:v>
      </x:c>
      <x:c r="H8" s="30" t="str"/>
      <x:c r="I8" s="30" t="str"/>
      <x:c r="J8" s="30" t="str"/>
    </x:row>
    <x:row r="9">
      <x:c r="A9" s="30" t="str">
        <x:v>HR-TEMPLATE-008</x:v>
      </x:c>
      <x:c r="B9" s="30" t="str"/>
      <x:c r="C9" s="30" t="str"/>
      <x:c r="D9" s="30" t="str">
        <x:v>high risk / low judge confidence / fabricated citation</x:v>
      </x:c>
      <x:c r="E9" s="30" t="str"/>
      <x:c r="F9" s="30" t="str"/>
      <x:c r="G9" s="30" t="str">
        <x:v>pending</x:v>
      </x:c>
      <x:c r="H9" s="30" t="str"/>
      <x:c r="I9" s="30" t="str"/>
      <x:c r="J9" s="30" t="str"/>
    </x:row>
    <x:row r="10">
      <x:c r="A10" s="30" t="str">
        <x:v>HR-TEMPLATE-009</x:v>
      </x:c>
      <x:c r="B10" s="30" t="str"/>
      <x:c r="C10" s="30" t="str"/>
      <x:c r="D10" s="30" t="str">
        <x:v>high risk / low judge confidence / fabricated citation</x:v>
      </x:c>
      <x:c r="E10" s="30" t="str"/>
      <x:c r="F10" s="30" t="str"/>
      <x:c r="G10" s="30" t="str">
        <x:v>pending</x:v>
      </x:c>
      <x:c r="H10" s="30" t="str"/>
      <x:c r="I10" s="30" t="str"/>
      <x:c r="J10" s="30" t="str"/>
    </x:row>
    <x:row r="11">
      <x:c r="A11" s="30" t="str">
        <x:v>HR-TEMPLATE-010</x:v>
      </x:c>
      <x:c r="B11" s="30" t="str"/>
      <x:c r="C11" s="30" t="str"/>
      <x:c r="D11" s="30" t="str">
        <x:v>high risk / low judge confidence / fabricated citation</x:v>
      </x:c>
      <x:c r="E11" s="30" t="str"/>
      <x:c r="F11" s="30" t="str"/>
      <x:c r="G11" s="30" t="str">
        <x:v>pending</x:v>
      </x:c>
      <x:c r="H11" s="30" t="str"/>
      <x:c r="I11" s="30" t="str"/>
      <x:c r="J11" s="30" t="str"/>
    </x:row>
    <x:row r="12">
      <x:c r="A12" s="30" t="str">
        <x:v>HR-TEMPLATE-011</x:v>
      </x:c>
      <x:c r="B12" s="30" t="str"/>
      <x:c r="C12" s="30" t="str"/>
      <x:c r="D12" s="30" t="str">
        <x:v>high risk / low judge confidence / fabricated citation</x:v>
      </x:c>
      <x:c r="E12" s="30" t="str"/>
      <x:c r="F12" s="30" t="str"/>
      <x:c r="G12" s="30" t="str">
        <x:v>pending</x:v>
      </x:c>
      <x:c r="H12" s="30" t="str"/>
      <x:c r="I12" s="30" t="str"/>
      <x:c r="J12" s="30" t="str"/>
    </x:row>
    <x:row r="13">
      <x:c r="A13" s="30" t="str">
        <x:v>HR-TEMPLATE-012</x:v>
      </x:c>
      <x:c r="B13" s="30" t="str"/>
      <x:c r="C13" s="30" t="str"/>
      <x:c r="D13" s="30" t="str">
        <x:v>high risk / low judge confidence / fabricated citation</x:v>
      </x:c>
      <x:c r="E13" s="30" t="str"/>
      <x:c r="F13" s="30" t="str"/>
      <x:c r="G13" s="30" t="str">
        <x:v>pending</x:v>
      </x:c>
      <x:c r="H13" s="30" t="str"/>
      <x:c r="I13" s="30" t="str"/>
      <x:c r="J13" s="30" t="str"/>
    </x:row>
    <x:row r="14">
      <x:c r="A14" s="30" t="str">
        <x:v>HR-TEMPLATE-013</x:v>
      </x:c>
      <x:c r="B14" s="30" t="str"/>
      <x:c r="C14" s="30" t="str"/>
      <x:c r="D14" s="30" t="str">
        <x:v>high risk / low judge confidence / fabricated citation</x:v>
      </x:c>
      <x:c r="E14" s="30" t="str"/>
      <x:c r="F14" s="30" t="str"/>
      <x:c r="G14" s="30" t="str">
        <x:v>pending</x:v>
      </x:c>
      <x:c r="H14" s="30" t="str"/>
      <x:c r="I14" s="30" t="str"/>
      <x:c r="J14" s="30" t="str"/>
    </x:row>
    <x:row r="15">
      <x:c r="A15" s="30" t="str">
        <x:v>HR-TEMPLATE-014</x:v>
      </x:c>
      <x:c r="B15" s="30" t="str"/>
      <x:c r="C15" s="30" t="str"/>
      <x:c r="D15" s="30" t="str">
        <x:v>high risk / low judge confidence / fabricated citation</x:v>
      </x:c>
      <x:c r="E15" s="30" t="str"/>
      <x:c r="F15" s="30" t="str"/>
      <x:c r="G15" s="30" t="str">
        <x:v>pending</x:v>
      </x:c>
      <x:c r="H15" s="30" t="str"/>
      <x:c r="I15" s="30" t="str"/>
      <x:c r="J15" s="30" t="str"/>
    </x:row>
    <x:row r="16">
      <x:c r="A16" s="30" t="str">
        <x:v>HR-TEMPLATE-015</x:v>
      </x:c>
      <x:c r="B16" s="30" t="str"/>
      <x:c r="C16" s="30" t="str"/>
      <x:c r="D16" s="30" t="str">
        <x:v>high risk / low judge confidence / fabricated citation</x:v>
      </x:c>
      <x:c r="E16" s="30" t="str"/>
      <x:c r="F16" s="30" t="str"/>
      <x:c r="G16" s="30" t="str">
        <x:v>pending</x:v>
      </x:c>
      <x:c r="H16" s="30" t="str"/>
      <x:c r="I16" s="30" t="str"/>
      <x:c r="J16" s="30" t="str"/>
    </x:row>
    <x:row r="17">
      <x:c r="A17" s="30" t="str">
        <x:v>HR-TEMPLATE-016</x:v>
      </x:c>
      <x:c r="B17" s="30" t="str"/>
      <x:c r="C17" s="30" t="str"/>
      <x:c r="D17" s="30" t="str">
        <x:v>high risk / low judge confidence / fabricated citation</x:v>
      </x:c>
      <x:c r="E17" s="30" t="str"/>
      <x:c r="F17" s="30" t="str"/>
      <x:c r="G17" s="30" t="str">
        <x:v>pending</x:v>
      </x:c>
      <x:c r="H17" s="30" t="str"/>
      <x:c r="I17" s="30" t="str"/>
      <x:c r="J17" s="30" t="str"/>
    </x:row>
    <x:row r="18">
      <x:c r="A18" s="30" t="str">
        <x:v>HR-TEMPLATE-017</x:v>
      </x:c>
      <x:c r="B18" s="30" t="str"/>
      <x:c r="C18" s="30" t="str"/>
      <x:c r="D18" s="30" t="str">
        <x:v>high risk / low judge confidence / fabricated citation</x:v>
      </x:c>
      <x:c r="E18" s="30" t="str"/>
      <x:c r="F18" s="30" t="str"/>
      <x:c r="G18" s="30" t="str">
        <x:v>pending</x:v>
      </x:c>
      <x:c r="H18" s="30" t="str"/>
      <x:c r="I18" s="30" t="str"/>
      <x:c r="J18" s="30" t="str"/>
    </x:row>
    <x:row r="19">
      <x:c r="A19" s="30" t="str">
        <x:v>HR-TEMPLATE-018</x:v>
      </x:c>
      <x:c r="B19" s="30" t="str"/>
      <x:c r="C19" s="30" t="str"/>
      <x:c r="D19" s="30" t="str">
        <x:v>high risk / low judge confidence / fabricated citation</x:v>
      </x:c>
      <x:c r="E19" s="30" t="str"/>
      <x:c r="F19" s="30" t="str"/>
      <x:c r="G19" s="30" t="str">
        <x:v>pending</x:v>
      </x:c>
      <x:c r="H19" s="30" t="str"/>
      <x:c r="I19" s="30" t="str"/>
      <x:c r="J19" s="30" t="str"/>
    </x:row>
    <x:row r="20">
      <x:c r="A20" s="30" t="str">
        <x:v>HR-TEMPLATE-019</x:v>
      </x:c>
      <x:c r="B20" s="30" t="str"/>
      <x:c r="C20" s="30" t="str"/>
      <x:c r="D20" s="30" t="str">
        <x:v>high risk / low judge confidence / fabricated citation</x:v>
      </x:c>
      <x:c r="E20" s="30" t="str"/>
      <x:c r="F20" s="30" t="str"/>
      <x:c r="G20" s="30" t="str">
        <x:v>pending</x:v>
      </x:c>
      <x:c r="H20" s="30" t="str"/>
      <x:c r="I20" s="30" t="str"/>
      <x:c r="J20" s="30" t="str"/>
    </x:row>
    <x:row r="21">
      <x:c r="A21" s="30" t="str">
        <x:v>HR-TEMPLATE-020</x:v>
      </x:c>
      <x:c r="B21" s="30" t="str"/>
      <x:c r="C21" s="30" t="str"/>
      <x:c r="D21" s="30" t="str">
        <x:v>high risk / low judge confidence / fabricated citation</x:v>
      </x:c>
      <x:c r="E21" s="30" t="str"/>
      <x:c r="F21" s="30" t="str"/>
      <x:c r="G21" s="30" t="str">
        <x:v>pending</x:v>
      </x:c>
      <x:c r="H21" s="30" t="str"/>
      <x:c r="I21" s="30" t="str"/>
      <x:c r="J21" s="30" t="str"/>
    </x:row>
    <x:row r="22">
      <x:c r="A22" s="30" t="str">
        <x:v>HR-TEMPLATE-021</x:v>
      </x:c>
      <x:c r="B22" s="30" t="str"/>
      <x:c r="C22" s="30" t="str"/>
      <x:c r="D22" s="30" t="str">
        <x:v>high risk / low judge confidence / fabricated citation</x:v>
      </x:c>
      <x:c r="E22" s="30" t="str"/>
      <x:c r="F22" s="30" t="str"/>
      <x:c r="G22" s="30" t="str">
        <x:v>pending</x:v>
      </x:c>
      <x:c r="H22" s="30" t="str"/>
      <x:c r="I22" s="30" t="str"/>
      <x:c r="J22" s="30" t="str"/>
    </x:row>
    <x:row r="23">
      <x:c r="A23" s="30" t="str">
        <x:v>HR-TEMPLATE-022</x:v>
      </x:c>
      <x:c r="B23" s="30" t="str"/>
      <x:c r="C23" s="30" t="str"/>
      <x:c r="D23" s="30" t="str">
        <x:v>high risk / low judge confidence / fabricated citation</x:v>
      </x:c>
      <x:c r="E23" s="30" t="str"/>
      <x:c r="F23" s="30" t="str"/>
      <x:c r="G23" s="30" t="str">
        <x:v>pending</x:v>
      </x:c>
      <x:c r="H23" s="30" t="str"/>
      <x:c r="I23" s="30" t="str"/>
      <x:c r="J23" s="30" t="str"/>
    </x:row>
    <x:row r="24">
      <x:c r="A24" s="30" t="str">
        <x:v>HR-TEMPLATE-023</x:v>
      </x:c>
      <x:c r="B24" s="30" t="str"/>
      <x:c r="C24" s="30" t="str"/>
      <x:c r="D24" s="30" t="str">
        <x:v>high risk / low judge confidence / fabricated citation</x:v>
      </x:c>
      <x:c r="E24" s="30" t="str"/>
      <x:c r="F24" s="30" t="str"/>
      <x:c r="G24" s="30" t="str">
        <x:v>pending</x:v>
      </x:c>
      <x:c r="H24" s="30" t="str"/>
      <x:c r="I24" s="30" t="str"/>
      <x:c r="J24" s="30" t="str"/>
    </x:row>
    <x:row r="25">
      <x:c r="A25" s="30" t="str">
        <x:v>HR-TEMPLATE-024</x:v>
      </x:c>
      <x:c r="B25" s="30" t="str"/>
      <x:c r="C25" s="30" t="str"/>
      <x:c r="D25" s="30" t="str">
        <x:v>high risk / low judge confidence / fabricated citation</x:v>
      </x:c>
      <x:c r="E25" s="30" t="str"/>
      <x:c r="F25" s="30" t="str"/>
      <x:c r="G25" s="30" t="str">
        <x:v>pending</x:v>
      </x:c>
      <x:c r="H25" s="30" t="str"/>
      <x:c r="I25" s="30" t="str"/>
      <x:c r="J25" s="30" t="str"/>
    </x:row>
    <x:row r="26">
      <x:c r="A26" s="30" t="str">
        <x:v>HR-TEMPLATE-025</x:v>
      </x:c>
      <x:c r="B26" s="30" t="str"/>
      <x:c r="C26" s="30" t="str"/>
      <x:c r="D26" s="30" t="str">
        <x:v>high risk / low judge confidence / fabricated citation</x:v>
      </x:c>
      <x:c r="E26" s="30" t="str"/>
      <x:c r="F26" s="30" t="str"/>
      <x:c r="G26" s="30" t="str">
        <x:v>pending</x:v>
      </x:c>
      <x:c r="H26" s="30" t="str"/>
      <x:c r="I26" s="30" t="str"/>
      <x:c r="J26" s="30" t="str"/>
    </x:row>
    <x:row r="27">
      <x:c r="A27" s="30" t="str">
        <x:v>HR-TEMPLATE-026</x:v>
      </x:c>
      <x:c r="B27" s="30" t="str"/>
      <x:c r="C27" s="30" t="str"/>
      <x:c r="D27" s="30" t="str">
        <x:v>high risk / low judge confidence / fabricated citation</x:v>
      </x:c>
      <x:c r="E27" s="30" t="str"/>
      <x:c r="F27" s="30" t="str"/>
      <x:c r="G27" s="30" t="str">
        <x:v>pending</x:v>
      </x:c>
      <x:c r="H27" s="30" t="str"/>
      <x:c r="I27" s="30" t="str"/>
      <x:c r="J27" s="30" t="str"/>
    </x:row>
    <x:row r="28">
      <x:c r="A28" s="30" t="str">
        <x:v>HR-TEMPLATE-027</x:v>
      </x:c>
      <x:c r="B28" s="30" t="str"/>
      <x:c r="C28" s="30" t="str"/>
      <x:c r="D28" s="30" t="str">
        <x:v>high risk / low judge confidence / fabricated citation</x:v>
      </x:c>
      <x:c r="E28" s="30" t="str"/>
      <x:c r="F28" s="30" t="str"/>
      <x:c r="G28" s="30" t="str">
        <x:v>pending</x:v>
      </x:c>
      <x:c r="H28" s="30" t="str"/>
      <x:c r="I28" s="30" t="str"/>
      <x:c r="J28" s="30" t="str"/>
    </x:row>
    <x:row r="29">
      <x:c r="A29" s="30" t="str">
        <x:v>HR-TEMPLATE-028</x:v>
      </x:c>
      <x:c r="B29" s="30" t="str"/>
      <x:c r="C29" s="30" t="str"/>
      <x:c r="D29" s="30" t="str">
        <x:v>high risk / low judge confidence / fabricated citation</x:v>
      </x:c>
      <x:c r="E29" s="30" t="str"/>
      <x:c r="F29" s="30" t="str"/>
      <x:c r="G29" s="30" t="str">
        <x:v>pending</x:v>
      </x:c>
      <x:c r="H29" s="30" t="str"/>
      <x:c r="I29" s="30" t="str"/>
      <x:c r="J29" s="30" t="str"/>
    </x:row>
    <x:row r="30">
      <x:c r="A30" s="30" t="str">
        <x:v>HR-TEMPLATE-029</x:v>
      </x:c>
      <x:c r="B30" s="30" t="str"/>
      <x:c r="C30" s="30" t="str"/>
      <x:c r="D30" s="30" t="str">
        <x:v>high risk / low judge confidence / fabricated citation</x:v>
      </x:c>
      <x:c r="E30" s="30" t="str"/>
      <x:c r="F30" s="30" t="str"/>
      <x:c r="G30" s="30" t="str">
        <x:v>pending</x:v>
      </x:c>
      <x:c r="H30" s="30" t="str"/>
      <x:c r="I30" s="30" t="str"/>
      <x:c r="J30" s="30" t="str"/>
    </x:row>
    <x:row r="31">
      <x:c r="A31" s="30" t="str">
        <x:v>HR-TEMPLATE-030</x:v>
      </x:c>
      <x:c r="B31" s="30" t="str"/>
      <x:c r="C31" s="30" t="str"/>
      <x:c r="D31" s="30" t="str">
        <x:v>high risk / low judge confidence / fabricated citation</x:v>
      </x:c>
      <x:c r="E31" s="30" t="str"/>
      <x:c r="F31" s="30" t="str"/>
      <x:c r="G31" s="30" t="str">
        <x:v>pending</x:v>
      </x:c>
      <x:c r="H31" s="30" t="str"/>
      <x:c r="I31" s="30" t="str"/>
      <x:c r="J31" s="30" t="str"/>
    </x:row>
  </x:sheetData>
  <x:dataValidations count="2">
    <x:dataValidation type="list" sqref="G2:G31">
      <x:formula1>"pending,in_review,resolved,blocked"</x:formula1>
    </x:dataValidation>
    <x:dataValidation type="list" sqref="J2:J31">
      <x:formula1>"eval,sft,preference,badcase,human_review"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26" hidden="0" customWidth="1"/>
    <x:col min="5" max="5" width="16" hidden="0" customWidth="1"/>
    <x:col min="6" max="6" width="60" hidden="0" customWidth="1"/>
  </x:cols>
  <x:sheetData>
    <x:row r="1">
      <x:c r="A1" s="48" t="str">
        <x:v>task_category</x:v>
      </x:c>
      <x:c r="B1" s="48" t="str">
        <x:v>samples</x:v>
      </x:c>
      <x:c r="C1" s="48" t="str">
        <x:v>share</x:v>
      </x:c>
      <x:c r="D1" s="48" t="str">
        <x:v>planned_v0_v3_runs_3_models</x:v>
      </x:c>
      <x:c r="E1" s="48" t="str">
        <x:v>deep_badcases</x:v>
      </x:c>
      <x:c r="F1" s="48" t="str">
        <x:v>coverage_note</x:v>
      </x:c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28" t="str">
        <x:v>consultation</x:v>
      </x:c>
      <x:c r="B2" s="28" t="n">
        <x:f>COUNTIF(Eval_Input!B:B,A2)</x:f>
        <x:v>24</x:v>
      </x:c>
      <x:c r="C2" s="36" t="n">
        <x:f>IFERROR(B2/$B$5,"")</x:f>
        <x:v>0.6</x:v>
      </x:c>
      <x:c r="D2" s="28" t="n">
        <x:f>B2*3*2</x:f>
        <x:v>144</x:v>
      </x:c>
      <x:c r="E2" s="28" t="n">
        <x:f>COUNTIFS(Eval_Input!B:B,A2,Eval_Input!O:O,"yes")</x:f>
        <x:v>5</x:v>
      </x:c>
      <x:c r="F2" s="28" t="str">
        <x:v>咨询任务重点看缺失事实、追问、风险提示和过度结论控制</x:v>
      </x:c>
    </x:row>
    <x:row r="3">
      <x:c r="A3" s="28" t="str">
        <x:v>case_analysis</x:v>
      </x:c>
      <x:c r="B3" s="28" t="n">
        <x:f>COUNTIF(Eval_Input!B:B,A3)</x:f>
        <x:v>12</x:v>
      </x:c>
      <x:c r="C3" s="36" t="n">
        <x:f>IFERROR(B3/$B$5,"")</x:f>
        <x:v>0.3</x:v>
      </x:c>
      <x:c r="D3" s="28" t="n">
        <x:f>B3*3*2</x:f>
        <x:v>72</x:v>
      </x:c>
      <x:c r="E3" s="28" t="n">
        <x:f>COUNTIFS(Eval_Input!B:B,A3,Eval_Input!O:O,"yes")</x:f>
        <x:v>0</x:v>
      </x:c>
      <x:c r="F3" s="28" t="str">
        <x:v>案例分析重点看结论、事实、推理、依据和边界条件</x:v>
      </x:c>
    </x:row>
    <x:row r="4">
      <x:c r="A4" s="28" t="str">
        <x:v>document_drafting</x:v>
      </x:c>
      <x:c r="B4" s="28" t="n">
        <x:f>COUNTIF(Eval_Input!B:B,A4)</x:f>
        <x:v>4</x:v>
      </x:c>
      <x:c r="C4" s="36" t="n">
        <x:f>IFERROR(B4/$B$5,"")</x:f>
        <x:v>0.1</x:v>
      </x:c>
      <x:c r="D4" s="28" t="n">
        <x:f>B4*3*2</x:f>
        <x:v>24</x:v>
      </x:c>
      <x:c r="E4" s="28" t="n">
        <x:f>COUNTIFS(Eval_Input!B:B,A4,Eval_Input!O:O,"yes")</x:f>
        <x:v>1</x:v>
      </x:c>
      <x:c r="F4" s="28" t="str">
        <x:v>文书任务重点看结构、诉请/抗辩、事实证据和程序风险</x:v>
      </x:c>
    </x:row>
    <x:row r="5">
      <x:c r="A5" s="28" t="str">
        <x:v>Total</x:v>
      </x:c>
      <x:c r="B5" s="28" t="n">
        <x:f>SUM(B2:B4)</x:f>
        <x:v>40</x:v>
      </x:c>
      <x:c r="C5" s="36" t="n">
        <x:f>IFERROR(B5/$B$5,"")</x:f>
        <x:v>1</x:v>
      </x:c>
      <x:c r="D5" s="28" t="n">
        <x:f>SUM(D2:D4)</x:f>
        <x:v>240</x:v>
      </x:c>
      <x:c r="E5" s="28" t="n">
        <x:f>SUM(E2:E4)</x:f>
        <x:v>6</x:v>
      </x:c>
      <x:c r="F5" s="28" t="str">
        <x:v>40 条核心样本，200 个原子评分点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26" hidden="0" customWidth="1"/>
    <x:col min="4" max="4" width="14" hidden="0" customWidth="1"/>
    <x:col min="5" max="5" width="14" hidden="0" customWidth="1"/>
    <x:col min="6" max="6" width="48" hidden="0" customWidth="1"/>
    <x:col min="7" max="7" width="32" hidden="0" customWidth="1"/>
    <x:col min="8" max="8" width="40" hidden="0" customWidth="1"/>
  </x:cols>
  <x:sheetData>
    <x:row r="1">
      <x:c r="A1" s="48" t="str">
        <x:v>task_category</x:v>
      </x:c>
      <x:c r="B1" s="48" t="str">
        <x:v>primary_eval_focus</x:v>
      </x:c>
      <x:c r="C1" s="48" t="str">
        <x:v>judge_prompt</x:v>
      </x:c>
      <x:c r="D1" s="48" t="str">
        <x:v>sample_count</x:v>
      </x:c>
      <x:c r="E1" s="48" t="str">
        <x:v>rubric_items</x:v>
      </x:c>
      <x:c r="F1" s="48" t="str">
        <x:v>common_error_tags</x:v>
      </x:c>
      <x:c r="G1" s="48" t="str">
        <x:v>preferred_data_routes</x:v>
      </x:c>
      <x:c r="H1" s="48" t="str">
        <x:v>human_review_policy</x:v>
      </x:c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consultation</x:v>
      </x:c>
      <x:c r="B2" s="30" t="str">
        <x:v>missing facts, clarification, risk warning, overclaim control</x:v>
      </x:c>
      <x:c r="C2" s="30" t="str">
        <x:v>judge_consultation</x:v>
      </x:c>
      <x:c r="D2" s="30" t="n">
        <x:f>COUNTIF(Eval_Input!B:B,A2)</x:f>
        <x:v>24</x:v>
      </x:c>
      <x:c r="E2" s="30" t="n">
        <x:f>COUNTIF(Rubric_Items!C:C,A2)</x:f>
        <x:v>120</x:v>
      </x:c>
      <x:c r="F2" s="30" t="str">
        <x:v>missing_facts, overclaim, missing_evidence_warning</x:v>
      </x:c>
      <x:c r="G2" s="30" t="str">
        <x:v>eval, sft, preference</x:v>
      </x:c>
      <x:c r="H2" s="30" t="str">
        <x:v>high risk or unsafe suggestions</x:v>
      </x:c>
    </x:row>
    <x:row r="3">
      <x:c r="A3" s="30" t="str">
        <x:v>case_analysis</x:v>
      </x:c>
      <x:c r="B3" s="30" t="str">
        <x:v>conclusion, fact extraction, reasoning, legal grounding</x:v>
      </x:c>
      <x:c r="C3" s="30" t="str">
        <x:v>judge_case_analysis</x:v>
      </x:c>
      <x:c r="D3" s="30" t="n">
        <x:f>COUNTIF(Eval_Input!B:B,A3)</x:f>
        <x:v>12</x:v>
      </x:c>
      <x:c r="E3" s="30" t="n">
        <x:f>COUNTIF(Rubric_Items!C:C,A3)</x:f>
        <x:v>60</x:v>
      </x:c>
      <x:c r="F3" s="30" t="str">
        <x:v>weak_fact_rule_application, unverified_basis, missing_procedure_warning</x:v>
      </x:c>
      <x:c r="G3" s="30" t="str">
        <x:v>eval, badcase</x:v>
      </x:c>
      <x:c r="H3" s="30" t="str">
        <x:v>low confidence or complex legal issues</x:v>
      </x:c>
    </x:row>
    <x:row r="4">
      <x:c r="A4" s="30" t="str">
        <x:v>document_drafting</x:v>
      </x:c>
      <x:c r="B4" s="30" t="str">
        <x:v>structure, claims/defenses, facts/evidence, procedure risk</x:v>
      </x:c>
      <x:c r="C4" s="30" t="str">
        <x:v>judge_document_drafting</x:v>
      </x:c>
      <x:c r="D4" s="30" t="n">
        <x:f>COUNTIF(Eval_Input!B:B,A4)</x:f>
        <x:v>4</x:v>
      </x:c>
      <x:c r="E4" s="30" t="n">
        <x:f>COUNTIF(Rubric_Items!C:C,A4)</x:f>
        <x:v>20</x:v>
      </x:c>
      <x:c r="F4" s="30" t="str">
        <x:v>wrong_document_type, overclaim, missing_procedure_warning</x:v>
      </x:c>
      <x:c r="G4" s="30" t="str">
        <x:v>sft, eval, human_review</x:v>
      </x:c>
      <x:c r="H4" s="30" t="str">
        <x:v>all high-risk drafting samples sampled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0" hidden="0" customWidth="1"/>
    <x:col min="5" max="5" width="56" hidden="0" customWidth="1"/>
    <x:col min="6" max="6" width="44" hidden="0" customWidth="1"/>
    <x:col min="7" max="7" width="36" hidden="0" customWidth="1"/>
    <x:col min="8" max="8" width="42" hidden="0" customWidth="1"/>
  </x:cols>
  <x:sheetData>
    <x:row r="1">
      <x:c r="A1" s="48" t="str">
        <x:v>sample_id</x:v>
      </x:c>
      <x:c r="B1" s="48" t="str">
        <x:v>legal_domain</x:v>
      </x:c>
      <x:c r="C1" s="48" t="str">
        <x:v>badcase_title</x:v>
      </x:c>
      <x:c r="D1" s="48" t="str">
        <x:v>v0_expected_failure</x:v>
      </x:c>
      <x:c r="E1" s="48" t="str">
        <x:v>v3_expected_improvement</x:v>
      </x:c>
      <x:c r="F1" s="48" t="str">
        <x:v>key_error_tags</x:v>
      </x:c>
      <x:c r="G1" s="48" t="str">
        <x:v>data_route</x:v>
      </x:c>
      <x:c r="H1" s="48" t="str">
        <x:v>portfolio_use</x:v>
      </x:c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L-001</x:v>
      </x:c>
      <x:c r="B2" s="30" t="str">
        <x:v>劳动/用工</x:v>
      </x:c>
      <x:c r="C2" s="30" t="str">
        <x:v>试用期解除事实不足</x:v>
      </x:c>
      <x:c r="D2" s="30" t="str">
        <x:v>V0 容易直接说公司违法解除、可以赔偿</x:v>
      </x:c>
      <x:c r="E2" s="30" t="str">
        <x:v>V3 应先追问录用条件、考核证据、解除通知，再条件化分析</x:v>
      </x:c>
      <x:c r="F2" s="30" t="str">
        <x:v>missing_facts, overclaim, missing_evidence_warning</x:v>
      </x:c>
      <x:c r="G2" s="30" t="str">
        <x:v>preference + eval + human_review</x:v>
      </x:c>
      <x:c r="H2" s="30" t="str">
        <x:v>展示事实追问和过度结论控制</x:v>
      </x:c>
    </x:row>
    <x:row r="3">
      <x:c r="A3" s="30" t="str">
        <x:v>L-008</x:v>
      </x:c>
      <x:c r="B3" s="30" t="str">
        <x:v>合同/交易</x:v>
      </x:c>
      <x:c r="C3" s="30" t="str">
        <x:v>定金/订金混淆</x:v>
      </x:c>
      <x:c r="D3" s="30" t="str">
        <x:v>V0 容易直接说定金不能退</x:v>
      </x:c>
      <x:c r="E3" s="30" t="str">
        <x:v>V3 应先区分款项性质、合同成立和违约方</x:v>
      </x:c>
      <x:c r="F3" s="30" t="str">
        <x:v>missing_facts, weak_fact_rule_application, overclaim</x:v>
      </x:c>
      <x:c r="G3" s="30" t="str">
        <x:v>eval + preference</x:v>
      </x:c>
      <x:c r="H3" s="30" t="str">
        <x:v>展示法律术语消歧</x:v>
      </x:c>
    </x:row>
    <x:row r="4">
      <x:c r="A4" s="30" t="str">
        <x:v>L-014</x:v>
      </x:c>
      <x:c r="B4" s="30" t="str">
        <x:v>消费者/平台</x:v>
      </x:c>
      <x:c r="C4" s="30" t="str">
        <x:v>三倍赔偿过度承诺</x:v>
      </x:c>
      <x:c r="D4" s="30" t="str">
        <x:v>V0 容易直接说可以三倍赔偿</x:v>
      </x:c>
      <x:c r="E4" s="30" t="str">
        <x:v>V3 应区分普通违约与欺诈，提示举证和平台责任边界</x:v>
      </x:c>
      <x:c r="F4" s="30" t="str">
        <x:v>overclaim, missing_evidence_warning</x:v>
      </x:c>
      <x:c r="G4" s="30" t="str">
        <x:v>preference + risk-control sft</x:v>
      </x:c>
      <x:c r="H4" s="30" t="str">
        <x:v>展示消费者场景风险控制</x:v>
      </x:c>
    </x:row>
    <x:row r="5">
      <x:c r="A5" s="30" t="str">
        <x:v>L-019</x:v>
      </x:c>
      <x:c r="B5" s="30" t="str">
        <x:v>合同/IP/AI服务</x:v>
      </x:c>
      <x:c r="C5" s="30" t="str">
        <x:v>AIGC 服务合同与素材侵权</x:v>
      </x:c>
      <x:c r="D5" s="30" t="str">
        <x:v>V0 可能只站工作室一方要求尾款，忽略素材授权风险</x:v>
      </x:c>
      <x:c r="E5" s="30" t="str">
        <x:v>V3 应同时分析尾款、解除依据、素材授权和侵权风险</x:v>
      </x:c>
      <x:c r="F5" s="30" t="str">
        <x:v>needs_human_review, unverified_basis, missing_facts</x:v>
      </x:c>
      <x:c r="G5" s="30" t="str">
        <x:v>human_review + badcase</x:v>
      </x:c>
      <x:c r="H5" s="30" t="str">
        <x:v>展示 AI/IP 复合场景</x:v>
      </x:c>
    </x:row>
    <x:row r="6">
      <x:c r="A6" s="30" t="str">
        <x:v>L-024</x:v>
      </x:c>
      <x:c r="B6" s="30" t="str">
        <x:v>平台/中介/贷款</x:v>
      </x:c>
      <x:c r="C6" s="30" t="str">
        <x:v>贷款服务合同陷阱</x:v>
      </x:c>
      <x:c r="D6" s="30" t="str">
        <x:v>V0 可能直接建议不还贷款</x:v>
      </x:c>
      <x:c r="E6" s="30" t="str">
        <x:v>V3 应拆分服务合同和贷款合同，提示征信和民刑风险</x:v>
      </x:c>
      <x:c r="F6" s="30" t="str">
        <x:v>unsafe_action_suggestion, needs_human_review</x:v>
      </x:c>
      <x:c r="G6" s="30" t="str">
        <x:v>human_review + preference</x:v>
      </x:c>
      <x:c r="H6" s="30" t="str">
        <x:v>展示 unsafe action 控制</x:v>
      </x:c>
    </x:row>
    <x:row r="7">
      <x:c r="A7" s="30" t="str">
        <x:v>L-040</x:v>
      </x:c>
      <x:c r="B7" s="30" t="str">
        <x:v>文书生成</x:v>
      </x:c>
      <x:c r="C7" s="30" t="str">
        <x:v>高额违约金答辩状</x:v>
      </x:c>
      <x:c r="D7" s="30" t="str">
        <x:v>V0 可能写成一定能降低违约金</x:v>
      </x:c>
      <x:c r="E7" s="30" t="str">
        <x:v>V3 应构造答辩要点、实际损失、调整请求和证据目录</x:v>
      </x:c>
      <x:c r="F7" s="30" t="str">
        <x:v>overclaim, missing_procedure_warning</x:v>
      </x:c>
      <x:c r="G7" s="30" t="str">
        <x:v>sft + document_drafting eval</x:v>
      </x:c>
      <x:c r="H7" s="30" t="str">
        <x:v>展示文书结构和程序风险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  <x:col min="6" max="6" width="34" hidden="0" customWidth="1"/>
    <x:col min="7" max="7" width="36" hidden="0" customWidth="1"/>
    <x:col min="8" max="8" width="52" hidden="0" customWidth="1"/>
    <x:col min="9" max="9" width="40" hidden="0" customWidth="1"/>
  </x:cols>
  <x:sheetData>
    <x:row r="1">
      <x:c r="A1" s="48" t="str">
        <x:v>sample_id</x:v>
      </x:c>
      <x:c r="B1" s="48" t="str">
        <x:v>model_alias</x:v>
      </x:c>
      <x:c r="C1" s="48" t="str">
        <x:v>V0_score_rate</x:v>
      </x:c>
      <x:c r="D1" s="48" t="str">
        <x:v>V3_score_rate</x:v>
      </x:c>
      <x:c r="E1" s="48" t="str">
        <x:v>delta</x:v>
      </x:c>
      <x:c r="F1" s="48" t="str">
        <x:v>V0_main_error</x:v>
      </x:c>
      <x:c r="G1" s="48" t="str">
        <x:v>V3_remaining_issue</x:v>
      </x:c>
      <x:c r="H1" s="48" t="str">
        <x:v>qualitative_finding</x:v>
      </x:c>
      <x:c r="I1" s="48" t="str">
        <x:v>recommended_data_action</x:v>
      </x:c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L-001</x:v>
      </x:c>
      <x:c r="B2" s="30" t="str">
        <x:v>Model_A</x:v>
      </x:c>
      <x:c r="C2" s="32" t="str"/>
      <x:c r="D2" s="32" t="str"/>
      <x:c r="E2" s="32" t="str">
        <x:f>IF(OR(C2="",D2=""),"",D2-C2)</x:f>
      </x:c>
      <x:c r="F2" s="30" t="str"/>
      <x:c r="G2" s="30" t="str"/>
      <x:c r="H2" s="30" t="str"/>
      <x:c r="I2" s="30" t="str"/>
    </x:row>
    <x:row r="3">
      <x:c r="A3" s="30" t="str">
        <x:v>L-002</x:v>
      </x:c>
      <x:c r="B3" s="30" t="str">
        <x:v>Model_A</x:v>
      </x:c>
      <x:c r="C3" s="32" t="str"/>
      <x:c r="D3" s="32" t="str"/>
      <x:c r="E3" s="32" t="str">
        <x:f>IF(OR(C3="",D3=""),"",D3-C3)</x:f>
      </x:c>
      <x:c r="F3" s="30" t="str"/>
      <x:c r="G3" s="30" t="str"/>
      <x:c r="H3" s="30" t="str"/>
      <x:c r="I3" s="30" t="str"/>
    </x:row>
    <x:row r="4">
      <x:c r="A4" s="30" t="str">
        <x:v>L-003</x:v>
      </x:c>
      <x:c r="B4" s="30" t="str">
        <x:v>Model_A</x:v>
      </x:c>
      <x:c r="C4" s="32" t="str"/>
      <x:c r="D4" s="32" t="str"/>
      <x:c r="E4" s="32" t="str">
        <x:f>IF(OR(C4="",D4=""),"",D4-C4)</x:f>
      </x:c>
      <x:c r="F4" s="30" t="str"/>
      <x:c r="G4" s="30" t="str"/>
      <x:c r="H4" s="30" t="str"/>
      <x:c r="I4" s="30" t="str"/>
    </x:row>
    <x:row r="5">
      <x:c r="A5" s="30" t="str">
        <x:v>L-004</x:v>
      </x:c>
      <x:c r="B5" s="30" t="str">
        <x:v>Model_A</x:v>
      </x:c>
      <x:c r="C5" s="32" t="str"/>
      <x:c r="D5" s="32" t="str"/>
      <x:c r="E5" s="32" t="str">
        <x:f>IF(OR(C5="",D5=""),"",D5-C5)</x:f>
      </x:c>
      <x:c r="F5" s="30" t="str"/>
      <x:c r="G5" s="30" t="str"/>
      <x:c r="H5" s="30" t="str"/>
      <x:c r="I5" s="30" t="str"/>
    </x:row>
    <x:row r="6">
      <x:c r="A6" s="30" t="str">
        <x:v>L-005</x:v>
      </x:c>
      <x:c r="B6" s="30" t="str">
        <x:v>Model_A</x:v>
      </x:c>
      <x:c r="C6" s="32" t="str"/>
      <x:c r="D6" s="32" t="str"/>
      <x:c r="E6" s="32" t="str">
        <x:f>IF(OR(C6="",D6=""),"",D6-C6)</x:f>
      </x:c>
      <x:c r="F6" s="30" t="str"/>
      <x:c r="G6" s="30" t="str"/>
      <x:c r="H6" s="30" t="str"/>
      <x:c r="I6" s="30" t="str"/>
    </x:row>
    <x:row r="7">
      <x:c r="A7" s="30" t="str">
        <x:v>L-006</x:v>
      </x:c>
      <x:c r="B7" s="30" t="str">
        <x:v>Model_A</x:v>
      </x:c>
      <x:c r="C7" s="32" t="str"/>
      <x:c r="D7" s="32" t="str"/>
      <x:c r="E7" s="32" t="str">
        <x:f>IF(OR(C7="",D7=""),"",D7-C7)</x:f>
      </x:c>
      <x:c r="F7" s="30" t="str"/>
      <x:c r="G7" s="30" t="str"/>
      <x:c r="H7" s="30" t="str"/>
      <x:c r="I7" s="30" t="str"/>
    </x:row>
    <x:row r="8">
      <x:c r="A8" s="30" t="str">
        <x:v>L-007</x:v>
      </x:c>
      <x:c r="B8" s="30" t="str">
        <x:v>Model_A</x:v>
      </x:c>
      <x:c r="C8" s="32" t="str"/>
      <x:c r="D8" s="32" t="str"/>
      <x:c r="E8" s="32" t="str">
        <x:f>IF(OR(C8="",D8=""),"",D8-C8)</x:f>
      </x:c>
      <x:c r="F8" s="30" t="str"/>
      <x:c r="G8" s="30" t="str"/>
      <x:c r="H8" s="30" t="str"/>
      <x:c r="I8" s="30" t="str"/>
    </x:row>
    <x:row r="9">
      <x:c r="A9" s="30" t="str">
        <x:v>L-008</x:v>
      </x:c>
      <x:c r="B9" s="30" t="str">
        <x:v>Model_A</x:v>
      </x:c>
      <x:c r="C9" s="32" t="str"/>
      <x:c r="D9" s="32" t="str"/>
      <x:c r="E9" s="32" t="str">
        <x:f>IF(OR(C9="",D9=""),"",D9-C9)</x:f>
      </x:c>
      <x:c r="F9" s="30" t="str"/>
      <x:c r="G9" s="30" t="str"/>
      <x:c r="H9" s="30" t="str"/>
      <x:c r="I9" s="30" t="str"/>
    </x:row>
    <x:row r="10">
      <x:c r="A10" s="30" t="str">
        <x:v>L-009</x:v>
      </x:c>
      <x:c r="B10" s="30" t="str">
        <x:v>Model_A</x:v>
      </x:c>
      <x:c r="C10" s="32" t="str"/>
      <x:c r="D10" s="32" t="str"/>
      <x:c r="E10" s="32" t="str">
        <x:f>IF(OR(C10="",D10=""),"",D10-C10)</x:f>
      </x:c>
      <x:c r="F10" s="30" t="str"/>
      <x:c r="G10" s="30" t="str"/>
      <x:c r="H10" s="30" t="str"/>
      <x:c r="I10" s="30" t="str"/>
    </x:row>
    <x:row r="11">
      <x:c r="A11" s="30" t="str">
        <x:v>L-010</x:v>
      </x:c>
      <x:c r="B11" s="30" t="str">
        <x:v>Model_A</x:v>
      </x:c>
      <x:c r="C11" s="32" t="str"/>
      <x:c r="D11" s="32" t="str"/>
      <x:c r="E11" s="32" t="str">
        <x:f>IF(OR(C11="",D11=""),"",D11-C11)</x:f>
      </x:c>
      <x:c r="F11" s="30" t="str"/>
      <x:c r="G11" s="30" t="str"/>
      <x:c r="H11" s="30" t="str"/>
      <x:c r="I11" s="30" t="str"/>
    </x:row>
    <x:row r="12">
      <x:c r="A12" s="30" t="str">
        <x:v>L-011</x:v>
      </x:c>
      <x:c r="B12" s="30" t="str">
        <x:v>Model_A</x:v>
      </x:c>
      <x:c r="C12" s="32" t="str"/>
      <x:c r="D12" s="32" t="str"/>
      <x:c r="E12" s="32" t="str">
        <x:f>IF(OR(C12="",D12=""),"",D12-C12)</x:f>
      </x:c>
      <x:c r="F12" s="30" t="str"/>
      <x:c r="G12" s="30" t="str"/>
      <x:c r="H12" s="30" t="str"/>
      <x:c r="I12" s="30" t="str"/>
    </x:row>
    <x:row r="13">
      <x:c r="A13" s="30" t="str">
        <x:v>L-012</x:v>
      </x:c>
      <x:c r="B13" s="30" t="str">
        <x:v>Model_A</x:v>
      </x:c>
      <x:c r="C13" s="32" t="str"/>
      <x:c r="D13" s="32" t="str"/>
      <x:c r="E13" s="32" t="str">
        <x:f>IF(OR(C13="",D13=""),"",D13-C13)</x:f>
      </x:c>
      <x:c r="F13" s="30" t="str"/>
      <x:c r="G13" s="30" t="str"/>
      <x:c r="H13" s="30" t="str"/>
      <x:c r="I13" s="30" t="str"/>
    </x:row>
    <x:row r="14">
      <x:c r="A14" s="30" t="str">
        <x:v>L-013</x:v>
      </x:c>
      <x:c r="B14" s="30" t="str">
        <x:v>Model_A</x:v>
      </x:c>
      <x:c r="C14" s="32" t="str"/>
      <x:c r="D14" s="32" t="str"/>
      <x:c r="E14" s="32" t="str">
        <x:f>IF(OR(C14="",D14=""),"",D14-C14)</x:f>
      </x:c>
      <x:c r="F14" s="30" t="str"/>
      <x:c r="G14" s="30" t="str"/>
      <x:c r="H14" s="30" t="str"/>
      <x:c r="I14" s="30" t="str"/>
    </x:row>
    <x:row r="15">
      <x:c r="A15" s="30" t="str">
        <x:v>L-014</x:v>
      </x:c>
      <x:c r="B15" s="30" t="str">
        <x:v>Model_A</x:v>
      </x:c>
      <x:c r="C15" s="32" t="str"/>
      <x:c r="D15" s="32" t="str"/>
      <x:c r="E15" s="32" t="str">
        <x:f>IF(OR(C15="",D15=""),"",D15-C15)</x:f>
      </x:c>
      <x:c r="F15" s="30" t="str"/>
      <x:c r="G15" s="30" t="str"/>
      <x:c r="H15" s="30" t="str"/>
      <x:c r="I15" s="30" t="str"/>
    </x:row>
    <x:row r="16">
      <x:c r="A16" s="30" t="str">
        <x:v>L-015</x:v>
      </x:c>
      <x:c r="B16" s="30" t="str">
        <x:v>Model_A</x:v>
      </x:c>
      <x:c r="C16" s="32" t="str"/>
      <x:c r="D16" s="32" t="str"/>
      <x:c r="E16" s="32" t="str">
        <x:f>IF(OR(C16="",D16=""),"",D16-C16)</x:f>
      </x:c>
      <x:c r="F16" s="30" t="str"/>
      <x:c r="G16" s="30" t="str"/>
      <x:c r="H16" s="30" t="str"/>
      <x:c r="I16" s="30" t="str"/>
    </x:row>
    <x:row r="17">
      <x:c r="A17" s="30" t="str">
        <x:v>L-016</x:v>
      </x:c>
      <x:c r="B17" s="30" t="str">
        <x:v>Model_A</x:v>
      </x:c>
      <x:c r="C17" s="32" t="str"/>
      <x:c r="D17" s="32" t="str"/>
      <x:c r="E17" s="32" t="str">
        <x:f>IF(OR(C17="",D17=""),"",D17-C17)</x:f>
      </x:c>
      <x:c r="F17" s="30" t="str"/>
      <x:c r="G17" s="30" t="str"/>
      <x:c r="H17" s="30" t="str"/>
      <x:c r="I17" s="30" t="str"/>
    </x:row>
    <x:row r="18">
      <x:c r="A18" s="30" t="str">
        <x:v>L-017</x:v>
      </x:c>
      <x:c r="B18" s="30" t="str">
        <x:v>Model_A</x:v>
      </x:c>
      <x:c r="C18" s="32" t="str"/>
      <x:c r="D18" s="32" t="str"/>
      <x:c r="E18" s="32" t="str">
        <x:f>IF(OR(C18="",D18=""),"",D18-C18)</x:f>
      </x:c>
      <x:c r="F18" s="30" t="str"/>
      <x:c r="G18" s="30" t="str"/>
      <x:c r="H18" s="30" t="str"/>
      <x:c r="I18" s="30" t="str"/>
    </x:row>
    <x:row r="19">
      <x:c r="A19" s="30" t="str">
        <x:v>L-018</x:v>
      </x:c>
      <x:c r="B19" s="30" t="str">
        <x:v>Model_A</x:v>
      </x:c>
      <x:c r="C19" s="32" t="str"/>
      <x:c r="D19" s="32" t="str"/>
      <x:c r="E19" s="32" t="str">
        <x:f>IF(OR(C19="",D19=""),"",D19-C19)</x:f>
      </x:c>
      <x:c r="F19" s="30" t="str"/>
      <x:c r="G19" s="30" t="str"/>
      <x:c r="H19" s="30" t="str"/>
      <x:c r="I19" s="30" t="str"/>
    </x:row>
    <x:row r="20">
      <x:c r="A20" s="30" t="str">
        <x:v>L-019</x:v>
      </x:c>
      <x:c r="B20" s="30" t="str">
        <x:v>Model_A</x:v>
      </x:c>
      <x:c r="C20" s="32" t="str"/>
      <x:c r="D20" s="32" t="str"/>
      <x:c r="E20" s="32" t="str">
        <x:f>IF(OR(C20="",D20=""),"",D20-C20)</x:f>
      </x:c>
      <x:c r="F20" s="30" t="str"/>
      <x:c r="G20" s="30" t="str"/>
      <x:c r="H20" s="30" t="str"/>
      <x:c r="I20" s="30" t="str"/>
    </x:row>
    <x:row r="21">
      <x:c r="A21" s="30" t="str">
        <x:v>L-020</x:v>
      </x:c>
      <x:c r="B21" s="30" t="str">
        <x:v>Model_A</x:v>
      </x:c>
      <x:c r="C21" s="32" t="str"/>
      <x:c r="D21" s="32" t="str"/>
      <x:c r="E21" s="32" t="str">
        <x:f>IF(OR(C21="",D21=""),"",D21-C21)</x:f>
      </x:c>
      <x:c r="F21" s="30" t="str"/>
      <x:c r="G21" s="30" t="str"/>
      <x:c r="H21" s="30" t="str"/>
      <x:c r="I21" s="30" t="str"/>
    </x:row>
    <x:row r="22">
      <x:c r="A22" s="30" t="str">
        <x:v>L-021</x:v>
      </x:c>
      <x:c r="B22" s="30" t="str">
        <x:v>Model_A</x:v>
      </x:c>
      <x:c r="C22" s="32" t="str"/>
      <x:c r="D22" s="32" t="str"/>
      <x:c r="E22" s="32" t="str">
        <x:f>IF(OR(C22="",D22=""),"",D22-C22)</x:f>
      </x:c>
      <x:c r="F22" s="30" t="str"/>
      <x:c r="G22" s="30" t="str"/>
      <x:c r="H22" s="30" t="str"/>
      <x:c r="I22" s="30" t="str"/>
    </x:row>
    <x:row r="23">
      <x:c r="A23" s="30" t="str">
        <x:v>L-022</x:v>
      </x:c>
      <x:c r="B23" s="30" t="str">
        <x:v>Model_A</x:v>
      </x:c>
      <x:c r="C23" s="32" t="str"/>
      <x:c r="D23" s="32" t="str"/>
      <x:c r="E23" s="32" t="str">
        <x:f>IF(OR(C23="",D23=""),"",D23-C23)</x:f>
      </x:c>
      <x:c r="F23" s="30" t="str"/>
      <x:c r="G23" s="30" t="str"/>
      <x:c r="H23" s="30" t="str"/>
      <x:c r="I23" s="30" t="str"/>
    </x:row>
    <x:row r="24">
      <x:c r="A24" s="30" t="str">
        <x:v>L-023</x:v>
      </x:c>
      <x:c r="B24" s="30" t="str">
        <x:v>Model_A</x:v>
      </x:c>
      <x:c r="C24" s="32" t="str"/>
      <x:c r="D24" s="32" t="str"/>
      <x:c r="E24" s="32" t="str">
        <x:f>IF(OR(C24="",D24=""),"",D24-C24)</x:f>
      </x:c>
      <x:c r="F24" s="30" t="str"/>
      <x:c r="G24" s="30" t="str"/>
      <x:c r="H24" s="30" t="str"/>
      <x:c r="I24" s="30" t="str"/>
    </x:row>
    <x:row r="25">
      <x:c r="A25" s="30" t="str">
        <x:v>L-024</x:v>
      </x:c>
      <x:c r="B25" s="30" t="str">
        <x:v>Model_A</x:v>
      </x:c>
      <x:c r="C25" s="32" t="str"/>
      <x:c r="D25" s="32" t="str"/>
      <x:c r="E25" s="32" t="str">
        <x:f>IF(OR(C25="",D25=""),"",D25-C25)</x:f>
      </x:c>
      <x:c r="F25" s="30" t="str"/>
      <x:c r="G25" s="30" t="str"/>
      <x:c r="H25" s="30" t="str"/>
      <x:c r="I25" s="30" t="str"/>
    </x:row>
    <x:row r="26">
      <x:c r="A26" s="30" t="str">
        <x:v>L-025</x:v>
      </x:c>
      <x:c r="B26" s="30" t="str">
        <x:v>Model_A</x:v>
      </x:c>
      <x:c r="C26" s="32" t="str"/>
      <x:c r="D26" s="32" t="str"/>
      <x:c r="E26" s="32" t="str">
        <x:f>IF(OR(C26="",D26=""),"",D26-C26)</x:f>
      </x:c>
      <x:c r="F26" s="30" t="str"/>
      <x:c r="G26" s="30" t="str"/>
      <x:c r="H26" s="30" t="str"/>
      <x:c r="I26" s="30" t="str"/>
    </x:row>
    <x:row r="27">
      <x:c r="A27" s="30" t="str">
        <x:v>L-026</x:v>
      </x:c>
      <x:c r="B27" s="30" t="str">
        <x:v>Model_A</x:v>
      </x:c>
      <x:c r="C27" s="32" t="str"/>
      <x:c r="D27" s="32" t="str"/>
      <x:c r="E27" s="32" t="str">
        <x:f>IF(OR(C27="",D27=""),"",D27-C27)</x:f>
      </x:c>
      <x:c r="F27" s="30" t="str"/>
      <x:c r="G27" s="30" t="str"/>
      <x:c r="H27" s="30" t="str"/>
      <x:c r="I27" s="30" t="str"/>
    </x:row>
    <x:row r="28">
      <x:c r="A28" s="30" t="str">
        <x:v>L-027</x:v>
      </x:c>
      <x:c r="B28" s="30" t="str">
        <x:v>Model_A</x:v>
      </x:c>
      <x:c r="C28" s="32" t="str"/>
      <x:c r="D28" s="32" t="str"/>
      <x:c r="E28" s="32" t="str">
        <x:f>IF(OR(C28="",D28=""),"",D28-C28)</x:f>
      </x:c>
      <x:c r="F28" s="30" t="str"/>
      <x:c r="G28" s="30" t="str"/>
      <x:c r="H28" s="30" t="str"/>
      <x:c r="I28" s="30" t="str"/>
    </x:row>
    <x:row r="29">
      <x:c r="A29" s="30" t="str">
        <x:v>L-028</x:v>
      </x:c>
      <x:c r="B29" s="30" t="str">
        <x:v>Model_A</x:v>
      </x:c>
      <x:c r="C29" s="32" t="str"/>
      <x:c r="D29" s="32" t="str"/>
      <x:c r="E29" s="32" t="str">
        <x:f>IF(OR(C29="",D29=""),"",D29-C29)</x:f>
      </x:c>
      <x:c r="F29" s="30" t="str"/>
      <x:c r="G29" s="30" t="str"/>
      <x:c r="H29" s="30" t="str"/>
      <x:c r="I29" s="30" t="str"/>
    </x:row>
    <x:row r="30">
      <x:c r="A30" s="30" t="str">
        <x:v>L-029</x:v>
      </x:c>
      <x:c r="B30" s="30" t="str">
        <x:v>Model_A</x:v>
      </x:c>
      <x:c r="C30" s="32" t="str"/>
      <x:c r="D30" s="32" t="str"/>
      <x:c r="E30" s="32" t="str">
        <x:f>IF(OR(C30="",D30=""),"",D30-C30)</x:f>
      </x:c>
      <x:c r="F30" s="30" t="str"/>
      <x:c r="G30" s="30" t="str"/>
      <x:c r="H30" s="30" t="str"/>
      <x:c r="I30" s="30" t="str"/>
    </x:row>
    <x:row r="31">
      <x:c r="A31" s="30" t="str">
        <x:v>L-030</x:v>
      </x:c>
      <x:c r="B31" s="30" t="str">
        <x:v>Model_A</x:v>
      </x:c>
      <x:c r="C31" s="32" t="str"/>
      <x:c r="D31" s="32" t="str"/>
      <x:c r="E31" s="32" t="str">
        <x:f>IF(OR(C31="",D31=""),"",D31-C31)</x:f>
      </x:c>
      <x:c r="F31" s="30" t="str"/>
      <x:c r="G31" s="30" t="str"/>
      <x:c r="H31" s="30" t="str"/>
      <x:c r="I31" s="30" t="str"/>
    </x:row>
    <x:row r="32">
      <x:c r="A32" s="30" t="str">
        <x:v>L-031</x:v>
      </x:c>
      <x:c r="B32" s="30" t="str">
        <x:v>Model_A</x:v>
      </x:c>
      <x:c r="C32" s="32" t="str"/>
      <x:c r="D32" s="32" t="str"/>
      <x:c r="E32" s="32" t="str">
        <x:f>IF(OR(C32="",D32=""),"",D32-C32)</x:f>
      </x:c>
      <x:c r="F32" s="30" t="str"/>
      <x:c r="G32" s="30" t="str"/>
      <x:c r="H32" s="30" t="str"/>
      <x:c r="I32" s="30" t="str"/>
    </x:row>
    <x:row r="33">
      <x:c r="A33" s="30" t="str">
        <x:v>L-032</x:v>
      </x:c>
      <x:c r="B33" s="30" t="str">
        <x:v>Model_A</x:v>
      </x:c>
      <x:c r="C33" s="32" t="str"/>
      <x:c r="D33" s="32" t="str"/>
      <x:c r="E33" s="32" t="str">
        <x:f>IF(OR(C33="",D33=""),"",D33-C33)</x:f>
      </x:c>
      <x:c r="F33" s="30" t="str"/>
      <x:c r="G33" s="30" t="str"/>
      <x:c r="H33" s="30" t="str"/>
      <x:c r="I33" s="30" t="str"/>
    </x:row>
    <x:row r="34">
      <x:c r="A34" s="30" t="str">
        <x:v>L-033</x:v>
      </x:c>
      <x:c r="B34" s="30" t="str">
        <x:v>Model_A</x:v>
      </x:c>
      <x:c r="C34" s="32" t="str"/>
      <x:c r="D34" s="32" t="str"/>
      <x:c r="E34" s="32" t="str">
        <x:f>IF(OR(C34="",D34=""),"",D34-C34)</x:f>
      </x:c>
      <x:c r="F34" s="30" t="str"/>
      <x:c r="G34" s="30" t="str"/>
      <x:c r="H34" s="30" t="str"/>
      <x:c r="I34" s="30" t="str"/>
    </x:row>
    <x:row r="35">
      <x:c r="A35" s="30" t="str">
        <x:v>L-034</x:v>
      </x:c>
      <x:c r="B35" s="30" t="str">
        <x:v>Model_A</x:v>
      </x:c>
      <x:c r="C35" s="32" t="str"/>
      <x:c r="D35" s="32" t="str"/>
      <x:c r="E35" s="32" t="str">
        <x:f>IF(OR(C35="",D35=""),"",D35-C35)</x:f>
      </x:c>
      <x:c r="F35" s="30" t="str"/>
      <x:c r="G35" s="30" t="str"/>
      <x:c r="H35" s="30" t="str"/>
      <x:c r="I35" s="30" t="str"/>
    </x:row>
    <x:row r="36">
      <x:c r="A36" s="30" t="str">
        <x:v>L-035</x:v>
      </x:c>
      <x:c r="B36" s="30" t="str">
        <x:v>Model_A</x:v>
      </x:c>
      <x:c r="C36" s="32" t="str"/>
      <x:c r="D36" s="32" t="str"/>
      <x:c r="E36" s="32" t="str">
        <x:f>IF(OR(C36="",D36=""),"",D36-C36)</x:f>
      </x:c>
      <x:c r="F36" s="30" t="str"/>
      <x:c r="G36" s="30" t="str"/>
      <x:c r="H36" s="30" t="str"/>
      <x:c r="I36" s="30" t="str"/>
    </x:row>
    <x:row r="37">
      <x:c r="A37" s="30" t="str">
        <x:v>L-036</x:v>
      </x:c>
      <x:c r="B37" s="30" t="str">
        <x:v>Model_A</x:v>
      </x:c>
      <x:c r="C37" s="32" t="str"/>
      <x:c r="D37" s="32" t="str"/>
      <x:c r="E37" s="32" t="str">
        <x:f>IF(OR(C37="",D37=""),"",D37-C37)</x:f>
      </x:c>
      <x:c r="F37" s="30" t="str"/>
      <x:c r="G37" s="30" t="str"/>
      <x:c r="H37" s="30" t="str"/>
      <x:c r="I37" s="30" t="str"/>
    </x:row>
    <x:row r="38">
      <x:c r="A38" s="30" t="str">
        <x:v>L-037</x:v>
      </x:c>
      <x:c r="B38" s="30" t="str">
        <x:v>Model_A</x:v>
      </x:c>
      <x:c r="C38" s="32" t="str"/>
      <x:c r="D38" s="32" t="str"/>
      <x:c r="E38" s="32" t="str">
        <x:f>IF(OR(C38="",D38=""),"",D38-C38)</x:f>
      </x:c>
      <x:c r="F38" s="30" t="str"/>
      <x:c r="G38" s="30" t="str"/>
      <x:c r="H38" s="30" t="str"/>
      <x:c r="I38" s="30" t="str"/>
    </x:row>
    <x:row r="39">
      <x:c r="A39" s="30" t="str">
        <x:v>L-038</x:v>
      </x:c>
      <x:c r="B39" s="30" t="str">
        <x:v>Model_A</x:v>
      </x:c>
      <x:c r="C39" s="32" t="str"/>
      <x:c r="D39" s="32" t="str"/>
      <x:c r="E39" s="32" t="str">
        <x:f>IF(OR(C39="",D39=""),"",D39-C39)</x:f>
      </x:c>
      <x:c r="F39" s="30" t="str"/>
      <x:c r="G39" s="30" t="str"/>
      <x:c r="H39" s="30" t="str"/>
      <x:c r="I39" s="30" t="str"/>
    </x:row>
    <x:row r="40">
      <x:c r="A40" s="30" t="str">
        <x:v>L-039</x:v>
      </x:c>
      <x:c r="B40" s="30" t="str">
        <x:v>Model_A</x:v>
      </x:c>
      <x:c r="C40" s="32" t="str"/>
      <x:c r="D40" s="32" t="str"/>
      <x:c r="E40" s="32" t="str">
        <x:f>IF(OR(C40="",D40=""),"",D40-C40)</x:f>
      </x:c>
      <x:c r="F40" s="30" t="str"/>
      <x:c r="G40" s="30" t="str"/>
      <x:c r="H40" s="30" t="str"/>
      <x:c r="I40" s="30" t="str"/>
    </x:row>
    <x:row r="41">
      <x:c r="A41" s="30" t="str">
        <x:v>L-040</x:v>
      </x:c>
      <x:c r="B41" s="30" t="str">
        <x:v>Model_A</x:v>
      </x:c>
      <x:c r="C41" s="32" t="str"/>
      <x:c r="D41" s="32" t="str"/>
      <x:c r="E41" s="32" t="str">
        <x:f>IF(OR(C41="",D41=""),"",D41-C41)</x:f>
      </x:c>
      <x:c r="F41" s="30" t="str"/>
      <x:c r="G41" s="30" t="str"/>
      <x:c r="H41" s="30" t="str"/>
      <x:c r="I41" s="30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48" t="str">
        <x:v>section</x:v>
      </x:c>
      <x:c r="B1" s="48" t="str">
        <x:v>guideline</x:v>
      </x:c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30" t="str">
        <x:v>项目边界</x:v>
      </x:c>
      <x:c r="B2" s="30" t="str">
        <x:v>本项目是法律 AI 数据闭环治理原型，不是法律咨询系统，不输出模型排行榜。</x:v>
      </x:c>
    </x:row>
    <x:row r="3">
      <x:c r="A3" s="30" t="str">
        <x:v>Gold Label Visibility</x:v>
      </x:c>
      <x:c r="B3" s="30" t="str">
        <x:v>被测 Agent 只能读取 Eval_Input；Judge/Human Review 才能读取 Gold_Labels 和 Rubric_Items。V2 Blind Review 不得读取 gold label。</x:v>
      </x:c>
    </x:row>
    <x:row r="4">
      <x:c r="A4" s="30" t="str">
        <x:v>Agent 可见字段</x:v>
      </x:c>
      <x:c r="B4" s="30" t="str">
        <x:v>sample_id、task_category、user_question、known_facts、legal_concepts、jurisdiction、law_snapshot_date、legal_advice_boundary。</x:v>
      </x:c>
    </x:row>
    <x:row r="5">
      <x:c r="A5" s="30" t="str">
        <x:v>Judge 可见字段</x:v>
      </x:c>
      <x:c r="B5" s="30" t="str">
        <x:v>Eval_Input + Gold_Labels + Rubric_Items + model_output。</x:v>
      </x:c>
    </x:row>
    <x:row r="6">
      <x:c r="A6" s="30" t="str">
        <x:v>风险等级 high</x:v>
      </x:c>
      <x:c r="B6" s="30" t="str">
        <x:v>民刑交叉、大额财产、IP 侵权、多主体责任、可能影响征信或劳动重大权益的样本。</x:v>
      </x:c>
    </x:row>
    <x:row r="7">
      <x:c r="A7" s="30" t="str">
        <x:v>Human Review 触发</x:v>
      </x:c>
      <x:c r="B7" s="30" t="str">
        <x:v>risk_level=high、fabricated_citation、unsafe_action_suggestion、judge_confidence=low、score_rate&lt;0.5 且涉及高风险。</x:v>
      </x:c>
    </x:row>
    <x:row r="8">
      <x:c r="A8" s="30" t="str">
        <x:v>SFT 样本标准</x:v>
      </x:c>
      <x:c r="B8" s="30" t="str">
        <x:v>错误集中、可通过示范答案纠正、gold label 清晰、无未核实法律依据。</x:v>
      </x:c>
    </x:row>
    <x:row r="9">
      <x:c r="A9" s="30" t="str">
        <x:v>Preference Pair 标准</x:v>
      </x:c>
      <x:c r="B9" s="30" t="str">
        <x:v>同一输入下 chosen 更克制、条件化、风险提示充分；rejected 存在 overclaim、unsafe action 或遗漏关键事实。</x:v>
      </x:c>
    </x:row>
    <x:row r="10">
      <x:c r="A10" s="30" t="str">
        <x:v>Eval 样本标准</x:v>
      </x:c>
      <x:c r="B10" s="30" t="str">
        <x:v>任务目标明确、rubric 可评分、关键事实和风险点可被客观核对。</x:v>
      </x:c>
    </x:row>
    <x:row r="11">
      <x:c r="A11" s="30" t="str">
        <x:v>Badcase 标准</x:v>
      </x:c>
      <x:c r="B11" s="30" t="str">
        <x:v>代表典型失败模式，能说明模型、prompt 或 workflow 的具体改进方向。</x:v>
      </x:c>
    </x:row>
    <x:row r="12">
      <x:c r="A12" s="30" t="str">
        <x:v>错误标签口径</x:v>
      </x:c>
      <x:c r="B12" s="30" t="str">
        <x:v>coarse_error_tag 用于统计和路由；error_subtype 用于保留法律细分。不要把一次性法律细节直接当 coarse tag。</x:v>
      </x:c>
    </x:row>
    <x:row r="13">
      <x:c r="A13" s="30" t="str">
        <x:v>评分口径</x:v>
      </x:c>
      <x:c r="B13" s="30" t="str">
        <x:v>每个原子评分点 0/1/2。Judge 不能替模型脑补未写出的内容。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6" hidden="0" customWidth="1"/>
  </x:cols>
  <x:sheetData>
    <x:row r="1">
      <x:c r="A1" s="42" t="str">
        <x:v>How to use this workbook</x:v>
      </x:c>
      <x:c r="B1" s="42"/>
      <x:c r="C1" s="42"/>
      <x:c r="D1" s="42"/>
      <x:c r="E1" s="42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3">
      <x:c r="A3" s="22" t="str">
        <x:v>Step</x:v>
      </x:c>
      <x:c r="B3" s="22" t="str">
        <x:v>Sheet</x:v>
      </x:c>
      <x:c r="C3" s="22" t="str">
        <x:v>Purpose</x:v>
      </x:c>
    </x:row>
    <x:row r="4">
      <x:c r="A4" s="28" t="str">
        <x:v>1</x:v>
      </x:c>
      <x:c r="B4" s="28" t="str">
        <x:v>Eval_Input</x:v>
      </x:c>
      <x:c r="C4" s="28" t="str">
        <x:v>Only fields visible to tested agents. Use for V0/V1/V3 prompt building.</x:v>
      </x:c>
    </x:row>
    <x:row r="5">
      <x:c r="A5" s="28" t="str">
        <x:v>2</x:v>
      </x:c>
      <x:c r="B5" s="28" t="str">
        <x:v>Gold_Labels</x:v>
      </x:c>
      <x:c r="C5" s="28" t="str">
        <x:v>Hidden labels for Judge/Human Review only. Never pass to tested agents.</x:v>
      </x:c>
    </x:row>
    <x:row r="6">
      <x:c r="A6" s="28" t="str">
        <x:v>3</x:v>
      </x:c>
      <x:c r="B6" s="28" t="str">
        <x:v>Rubric_Items</x:v>
      </x:c>
      <x:c r="C6" s="28" t="str">
        <x:v>200 atomic rubric items, 5 per sample, each scored 0/1/2.</x:v>
      </x:c>
    </x:row>
    <x:row r="7">
      <x:c r="A7" s="28" t="str">
        <x:v>4</x:v>
      </x:c>
      <x:c r="B7" s="28" t="str">
        <x:v>Prompt_Versions</x:v>
      </x:c>
      <x:c r="C7" s="28" t="str">
        <x:v>Prompt metadata and templates. V2 is blind review and cannot see gold labels.</x:v>
      </x:c>
    </x:row>
    <x:row r="8">
      <x:c r="A8" s="28" t="str">
        <x:v>5</x:v>
      </x:c>
      <x:c r="B8" s="28" t="str">
        <x:v>Model_Run_Log_Template</x:v>
      </x:c>
      <x:c r="C8" s="28" t="str">
        <x:v>Normalized run log: one row per model/prompt/sample run.</x:v>
      </x:c>
    </x:row>
    <x:row r="9">
      <x:c r="A9" s="28" t="str">
        <x:v>6</x:v>
      </x:c>
      <x:c r="B9" s="28" t="str">
        <x:v>Judge_Scores_Template</x:v>
      </x:c>
      <x:c r="C9" s="28" t="str">
        <x:v>Judge output template with score_rate = total_score / max_score.</x:v>
      </x:c>
    </x:row>
    <x:row r="10">
      <x:c r="A10" s="28" t="str">
        <x:v>7</x:v>
      </x:c>
      <x:c r="B10" s="28" t="str">
        <x:v>Data_Routing_Rules</x:v>
      </x:c>
      <x:c r="C10" s="28" t="str">
        <x:v>Fixed route enum: eval, sft, preference, badcase, human_review.</x:v>
      </x:c>
    </x:row>
    <x:row r="11">
      <x:c r="A11" s="28" t="str">
        <x:v>8</x:v>
      </x:c>
      <x:c r="B11" s="28" t="str">
        <x:v>Executive_Dashboard</x:v>
      </x:c>
      <x:c r="C11" s="28" t="str">
        <x:v>Portfolio-facing summary. It is a data decision dashboard, not a leaderboard.</x:v>
      </x:c>
    </x:row>
    <x:row r="12">
      <x:c r="A12" s="28" t="str">
        <x:v>9</x:v>
      </x:c>
      <x:c r="B12" s="28" t="str">
        <x:v>Badcase_Cards</x:v>
      </x:c>
      <x:c r="C12" s="28" t="str">
        <x:v>Six deep cases for PDF/interview explanation.</x:v>
      </x:c>
    </x:row>
    <x:row r="14">
      <x:c r="A14" s="22" t="str">
        <x:v>Project boundary</x:v>
      </x:c>
      <x:c r="B14" s="22" t="str"/>
      <x:c r="C14" s="22" t="str"/>
      <x:c r="D14" s="22" t="str"/>
      <x:c r="E14" s="22" t="str"/>
    </x:row>
    <x:row r="15">
      <x:c r="A15" s="13" t="str">
        <x:v>This workbook supports a two-day portfolio submission. It is not a legal advice product, not a benchmark leaderboard, and not a law retrieval system.</x:v>
      </x:c>
      <x:c r="B15" s="13" t="str"/>
      <x:c r="C15" s="13" t="str"/>
      <x:c r="D15" s="13" t="str"/>
      <x:c r="E15" s="13" t="str"/>
    </x:row>
    <x:row r="16">
      <x:c r="A16" s="13" t="str">
        <x:v>Recommended usage: run V0/V3 on all 40 samples, run V1/V2 on 6 deep badcases, use Judge as initial scoring, and send high-risk cases to Human Review.</x:v>
      </x:c>
      <x:c r="B16" s="13" t="str"/>
      <x:c r="C16" s="13" t="str"/>
      <x:c r="D16" s="13" t="str"/>
      <x:c r="E16" s="13" t="str"/>
    </x:row>
    <x:row r="17">
      <x:c r="A17" s="13" t="str">
        <x:v>Automation handles run logs, judge scoring, error tags, routing, and dashboard generation. Human work handles sample design, gold labels, rubric calibration, and high-risk review.</x:v>
      </x:c>
      <x:c r="B17" s="13" t="str"/>
      <x:c r="C17" s="13" t="str"/>
      <x:c r="D17" s="13" t="str"/>
      <x:c r="E17" s="13" t="str"/>
    </x:row>
  </x:sheetData>
  <x:mergeCells>
    <x:mergeCell ref="A1:E1"/>
    <x:mergeCell ref="A15:E17"/>
  </x:mergeCells>
  <x:pageMargins left="0.7" right="0.7" top="0.75" bottom="0.75" header="0.3" footer="0.3"/>
</x:worksheet>
</file>